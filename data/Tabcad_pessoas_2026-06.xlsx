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silopes\Downloads\Potencial\"/>
    </mc:Choice>
  </mc:AlternateContent>
  <xr:revisionPtr revIDLastSave="0" documentId="13_ncr:1_{CEF3FD8F-6B29-4EAF-BEC4-B17E5A305B5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ad" sheetId="1" r:id="rId1"/>
    <sheet name="Ap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7" i="2" l="1"/>
  <c r="E247" i="2"/>
  <c r="G246" i="2"/>
  <c r="E246" i="2"/>
  <c r="G245" i="2"/>
  <c r="E245" i="2"/>
  <c r="G244" i="2"/>
  <c r="E244" i="2"/>
  <c r="G243" i="2"/>
  <c r="E243" i="2"/>
  <c r="G242" i="2"/>
  <c r="E242" i="2"/>
  <c r="G241" i="2"/>
  <c r="E241" i="2"/>
  <c r="G240" i="2"/>
  <c r="E240" i="2"/>
  <c r="G239" i="2"/>
  <c r="E239" i="2"/>
  <c r="G238" i="2"/>
  <c r="E238" i="2"/>
  <c r="G237" i="2"/>
  <c r="E237" i="2"/>
  <c r="G236" i="2"/>
  <c r="E236" i="2"/>
  <c r="G235" i="2"/>
  <c r="E235" i="2"/>
  <c r="G234" i="2"/>
  <c r="E234" i="2"/>
  <c r="G233" i="2"/>
  <c r="E233" i="2"/>
  <c r="G232" i="2"/>
  <c r="E232" i="2"/>
  <c r="G231" i="2"/>
  <c r="E231" i="2"/>
  <c r="G230" i="2"/>
  <c r="E230" i="2"/>
  <c r="G229" i="2"/>
  <c r="E229" i="2"/>
  <c r="G228" i="2"/>
  <c r="E228" i="2"/>
  <c r="G227" i="2"/>
  <c r="E227" i="2"/>
  <c r="G226" i="2"/>
  <c r="E226" i="2"/>
  <c r="G225" i="2"/>
  <c r="E225" i="2"/>
  <c r="G224" i="2"/>
  <c r="E224" i="2"/>
  <c r="G223" i="2"/>
  <c r="E223" i="2"/>
  <c r="G222" i="2"/>
  <c r="E222" i="2"/>
  <c r="G221" i="2"/>
  <c r="E221" i="2"/>
  <c r="G220" i="2"/>
  <c r="E220" i="2"/>
  <c r="G219" i="2"/>
  <c r="E219" i="2"/>
  <c r="G218" i="2"/>
  <c r="E218" i="2"/>
  <c r="G217" i="2"/>
  <c r="E217" i="2"/>
  <c r="G216" i="2"/>
  <c r="E216" i="2"/>
  <c r="G215" i="2"/>
  <c r="E215" i="2"/>
  <c r="G214" i="2"/>
  <c r="E214" i="2"/>
  <c r="G213" i="2"/>
  <c r="E213" i="2"/>
  <c r="G212" i="2"/>
  <c r="E212" i="2"/>
  <c r="G211" i="2"/>
  <c r="E211" i="2"/>
  <c r="G210" i="2"/>
  <c r="E210" i="2"/>
  <c r="G209" i="2"/>
  <c r="E209" i="2"/>
  <c r="G208" i="2"/>
  <c r="E208" i="2"/>
  <c r="G207" i="2"/>
  <c r="E207" i="2"/>
  <c r="G206" i="2"/>
  <c r="E206" i="2"/>
  <c r="G205" i="2"/>
  <c r="E205" i="2"/>
  <c r="G204" i="2"/>
  <c r="E204" i="2"/>
  <c r="G203" i="2"/>
  <c r="E203" i="2"/>
  <c r="G202" i="2"/>
  <c r="E202" i="2"/>
  <c r="G201" i="2"/>
  <c r="E201" i="2"/>
  <c r="G200" i="2"/>
  <c r="E200" i="2"/>
  <c r="G199" i="2"/>
  <c r="E199" i="2"/>
  <c r="G198" i="2"/>
  <c r="E198" i="2"/>
  <c r="G197" i="2"/>
  <c r="E197" i="2"/>
  <c r="G196" i="2"/>
  <c r="E196" i="2"/>
  <c r="G195" i="2"/>
  <c r="E195" i="2"/>
  <c r="G194" i="2"/>
  <c r="E194" i="2"/>
  <c r="G193" i="2"/>
  <c r="E193" i="2"/>
  <c r="G192" i="2"/>
  <c r="E192" i="2"/>
  <c r="G191" i="2"/>
  <c r="E191" i="2"/>
  <c r="G190" i="2"/>
  <c r="E190" i="2"/>
  <c r="G189" i="2"/>
  <c r="E189" i="2"/>
  <c r="G188" i="2"/>
  <c r="E188" i="2"/>
  <c r="G187" i="2"/>
  <c r="E187" i="2"/>
  <c r="G186" i="2"/>
  <c r="E186" i="2"/>
  <c r="G185" i="2"/>
  <c r="E185" i="2"/>
  <c r="G184" i="2"/>
  <c r="E184" i="2"/>
  <c r="G183" i="2"/>
  <c r="E183" i="2"/>
  <c r="G182" i="2"/>
  <c r="E182" i="2"/>
  <c r="G181" i="2"/>
  <c r="E181" i="2"/>
  <c r="G180" i="2"/>
  <c r="E180" i="2"/>
  <c r="G179" i="2"/>
  <c r="E179" i="2"/>
  <c r="G178" i="2"/>
  <c r="E178" i="2"/>
  <c r="G177" i="2"/>
  <c r="E177" i="2"/>
  <c r="G176" i="2"/>
  <c r="E176" i="2"/>
  <c r="G175" i="2"/>
  <c r="E175" i="2"/>
  <c r="G174" i="2"/>
  <c r="E174" i="2"/>
  <c r="G173" i="2"/>
  <c r="E173" i="2"/>
  <c r="G172" i="2"/>
  <c r="E172" i="2"/>
  <c r="G171" i="2"/>
  <c r="E171" i="2"/>
  <c r="G170" i="2"/>
  <c r="E170" i="2"/>
  <c r="G169" i="2"/>
  <c r="E169" i="2"/>
  <c r="G168" i="2"/>
  <c r="E168" i="2"/>
  <c r="G167" i="2"/>
  <c r="E167" i="2"/>
  <c r="G166" i="2"/>
  <c r="E166" i="2"/>
  <c r="G165" i="2"/>
  <c r="E165" i="2"/>
  <c r="G164" i="2"/>
  <c r="E164" i="2"/>
  <c r="G163" i="2"/>
  <c r="E163" i="2"/>
  <c r="H162" i="2"/>
  <c r="G162" i="2"/>
  <c r="F162" i="2"/>
  <c r="E162" i="2"/>
  <c r="G161" i="2"/>
  <c r="E161" i="2"/>
  <c r="G160" i="2"/>
  <c r="E160" i="2"/>
  <c r="G159" i="2"/>
  <c r="E159" i="2"/>
  <c r="G158" i="2"/>
  <c r="E158" i="2"/>
  <c r="G157" i="2"/>
  <c r="E157" i="2"/>
  <c r="G156" i="2"/>
  <c r="E156" i="2"/>
  <c r="G155" i="2"/>
  <c r="E155" i="2"/>
  <c r="G154" i="2"/>
  <c r="E154" i="2"/>
  <c r="G153" i="2"/>
  <c r="E153" i="2"/>
  <c r="G152" i="2"/>
  <c r="E152" i="2"/>
  <c r="G151" i="2"/>
  <c r="E151" i="2"/>
  <c r="G150" i="2"/>
  <c r="E150" i="2"/>
  <c r="G149" i="2"/>
  <c r="E149" i="2"/>
  <c r="G148" i="2"/>
  <c r="E148" i="2"/>
  <c r="G147" i="2"/>
  <c r="E147" i="2"/>
  <c r="G146" i="2"/>
  <c r="E146" i="2"/>
  <c r="G145" i="2"/>
  <c r="E145" i="2"/>
  <c r="G144" i="2"/>
  <c r="E144" i="2"/>
  <c r="G143" i="2"/>
  <c r="E143" i="2"/>
  <c r="G142" i="2"/>
  <c r="E142" i="2"/>
  <c r="G141" i="2"/>
  <c r="E141" i="2"/>
  <c r="G140" i="2"/>
  <c r="E140" i="2"/>
  <c r="G139" i="2"/>
  <c r="E139" i="2"/>
  <c r="G138" i="2"/>
  <c r="E138" i="2"/>
  <c r="G137" i="2"/>
  <c r="E137" i="2"/>
  <c r="G136" i="2"/>
  <c r="E136" i="2"/>
  <c r="G135" i="2"/>
  <c r="E135" i="2"/>
  <c r="G134" i="2"/>
  <c r="E134" i="2"/>
  <c r="G133" i="2"/>
  <c r="E133" i="2"/>
  <c r="G132" i="2"/>
  <c r="E132" i="2"/>
  <c r="G131" i="2"/>
  <c r="E131" i="2"/>
  <c r="G130" i="2"/>
  <c r="E130" i="2"/>
  <c r="G129" i="2"/>
  <c r="E129" i="2"/>
  <c r="G128" i="2"/>
  <c r="E128" i="2"/>
  <c r="G127" i="2"/>
  <c r="E127" i="2"/>
  <c r="G126" i="2"/>
  <c r="E126" i="2"/>
  <c r="G125" i="2"/>
  <c r="E125" i="2"/>
  <c r="G124" i="2"/>
  <c r="E124" i="2"/>
  <c r="G123" i="2"/>
  <c r="E123" i="2"/>
  <c r="G122" i="2"/>
  <c r="E122" i="2"/>
  <c r="G121" i="2"/>
  <c r="E121" i="2"/>
  <c r="G120" i="2"/>
  <c r="E120" i="2"/>
  <c r="G119" i="2"/>
  <c r="E119" i="2"/>
  <c r="G118" i="2"/>
  <c r="E118" i="2"/>
  <c r="G117" i="2"/>
  <c r="E117" i="2"/>
  <c r="G116" i="2"/>
  <c r="E116" i="2"/>
  <c r="G115" i="2"/>
  <c r="E115" i="2"/>
  <c r="G114" i="2"/>
  <c r="E114" i="2"/>
  <c r="G113" i="2"/>
  <c r="E113" i="2"/>
  <c r="G112" i="2"/>
  <c r="E112" i="2"/>
  <c r="G111" i="2"/>
  <c r="E111" i="2"/>
  <c r="G110" i="2"/>
  <c r="E110" i="2"/>
  <c r="G109" i="2"/>
  <c r="E109" i="2"/>
  <c r="G108" i="2"/>
  <c r="E108" i="2"/>
  <c r="G107" i="2"/>
  <c r="E107" i="2"/>
  <c r="G106" i="2"/>
  <c r="E106" i="2"/>
  <c r="G105" i="2"/>
  <c r="E105" i="2"/>
  <c r="G104" i="2"/>
  <c r="E104" i="2"/>
  <c r="G103" i="2"/>
  <c r="E103" i="2"/>
  <c r="G102" i="2"/>
  <c r="E102" i="2"/>
  <c r="G101" i="2"/>
  <c r="E101" i="2"/>
  <c r="G100" i="2"/>
  <c r="E100" i="2"/>
  <c r="G99" i="2"/>
  <c r="E99" i="2"/>
  <c r="G98" i="2"/>
  <c r="E98" i="2"/>
  <c r="G97" i="2"/>
  <c r="E97" i="2"/>
  <c r="G96" i="2"/>
  <c r="E96" i="2"/>
  <c r="G95" i="2"/>
  <c r="E95" i="2"/>
  <c r="G94" i="2"/>
  <c r="E94" i="2"/>
  <c r="G93" i="2"/>
  <c r="E93" i="2"/>
  <c r="G92" i="2"/>
  <c r="E92" i="2"/>
  <c r="G91" i="2"/>
  <c r="E91" i="2"/>
  <c r="G90" i="2"/>
  <c r="E90" i="2"/>
  <c r="G89" i="2"/>
  <c r="E89" i="2"/>
  <c r="G88" i="2"/>
  <c r="E88" i="2"/>
  <c r="G87" i="2"/>
  <c r="E87" i="2"/>
  <c r="G86" i="2"/>
  <c r="E86" i="2"/>
  <c r="G85" i="2"/>
  <c r="E85" i="2"/>
  <c r="G84" i="2"/>
  <c r="E84" i="2"/>
  <c r="G83" i="2"/>
  <c r="E83" i="2"/>
  <c r="G82" i="2"/>
  <c r="E82" i="2"/>
  <c r="G81" i="2"/>
  <c r="E81" i="2"/>
  <c r="G80" i="2"/>
  <c r="E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H69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" i="1"/>
  <c r="H247" i="2" l="1"/>
  <c r="F247" i="2"/>
  <c r="H246" i="2"/>
  <c r="F246" i="2"/>
  <c r="H245" i="2"/>
  <c r="F245" i="2"/>
  <c r="H244" i="2"/>
  <c r="F244" i="2"/>
  <c r="H243" i="2"/>
  <c r="F243" i="2"/>
  <c r="H242" i="2"/>
  <c r="F242" i="2"/>
  <c r="H241" i="2"/>
  <c r="F241" i="2"/>
  <c r="H240" i="2"/>
  <c r="F240" i="2"/>
  <c r="H239" i="2"/>
  <c r="F239" i="2"/>
  <c r="H238" i="2"/>
  <c r="F238" i="2"/>
  <c r="H237" i="2"/>
  <c r="F237" i="2"/>
  <c r="H236" i="2"/>
  <c r="F236" i="2"/>
  <c r="H235" i="2"/>
  <c r="F235" i="2"/>
  <c r="H234" i="2"/>
  <c r="F234" i="2"/>
  <c r="H233" i="2"/>
  <c r="F233" i="2"/>
  <c r="H232" i="2"/>
  <c r="F232" i="2"/>
  <c r="H231" i="2"/>
  <c r="F231" i="2"/>
  <c r="H230" i="2"/>
  <c r="F230" i="2"/>
  <c r="H229" i="2"/>
  <c r="F229" i="2"/>
  <c r="H228" i="2"/>
  <c r="F228" i="2"/>
  <c r="H227" i="2"/>
  <c r="F227" i="2"/>
  <c r="H226" i="2"/>
  <c r="F226" i="2"/>
  <c r="H225" i="2"/>
  <c r="F225" i="2"/>
  <c r="H224" i="2"/>
  <c r="F224" i="2"/>
  <c r="H223" i="2"/>
  <c r="F223" i="2"/>
  <c r="H222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H214" i="2"/>
  <c r="F214" i="2"/>
  <c r="H213" i="2"/>
  <c r="F213" i="2"/>
  <c r="H212" i="2"/>
  <c r="F212" i="2"/>
  <c r="H211" i="2"/>
  <c r="F211" i="2"/>
  <c r="H210" i="2"/>
  <c r="F210" i="2"/>
  <c r="H209" i="2"/>
  <c r="F209" i="2"/>
  <c r="H208" i="2"/>
  <c r="F208" i="2"/>
  <c r="H207" i="2"/>
  <c r="F207" i="2"/>
  <c r="H206" i="2"/>
  <c r="F206" i="2"/>
  <c r="H205" i="2"/>
  <c r="F205" i="2"/>
  <c r="H204" i="2"/>
  <c r="F204" i="2"/>
  <c r="H203" i="2"/>
  <c r="F203" i="2"/>
  <c r="H202" i="2"/>
  <c r="F202" i="2"/>
  <c r="H201" i="2"/>
  <c r="F201" i="2"/>
  <c r="H200" i="2"/>
  <c r="F200" i="2"/>
  <c r="H199" i="2"/>
  <c r="F199" i="2"/>
  <c r="H198" i="2"/>
  <c r="F198" i="2"/>
  <c r="H197" i="2"/>
  <c r="F197" i="2"/>
  <c r="H196" i="2"/>
  <c r="F196" i="2"/>
  <c r="H195" i="2"/>
  <c r="F195" i="2"/>
  <c r="H194" i="2"/>
  <c r="F194" i="2"/>
  <c r="H193" i="2"/>
  <c r="F193" i="2"/>
  <c r="H192" i="2"/>
  <c r="F192" i="2"/>
  <c r="H191" i="2"/>
  <c r="F191" i="2"/>
  <c r="H190" i="2"/>
  <c r="F190" i="2"/>
  <c r="H189" i="2"/>
  <c r="F189" i="2"/>
  <c r="H188" i="2"/>
  <c r="F188" i="2"/>
  <c r="H187" i="2"/>
  <c r="F187" i="2"/>
  <c r="H186" i="2"/>
  <c r="F186" i="2"/>
  <c r="H185" i="2"/>
  <c r="F185" i="2"/>
  <c r="H184" i="2"/>
  <c r="F184" i="2"/>
  <c r="H183" i="2"/>
  <c r="F183" i="2"/>
  <c r="H182" i="2"/>
  <c r="F182" i="2"/>
  <c r="H181" i="2"/>
  <c r="F181" i="2"/>
  <c r="H180" i="2"/>
  <c r="F180" i="2"/>
  <c r="H179" i="2"/>
  <c r="F179" i="2"/>
  <c r="H178" i="2"/>
  <c r="F178" i="2"/>
  <c r="H177" i="2"/>
  <c r="F177" i="2"/>
  <c r="H176" i="2"/>
  <c r="F176" i="2"/>
  <c r="H175" i="2"/>
  <c r="F175" i="2"/>
  <c r="H174" i="2"/>
  <c r="F174" i="2"/>
  <c r="H173" i="2"/>
  <c r="F173" i="2"/>
  <c r="H172" i="2"/>
  <c r="F172" i="2"/>
  <c r="H171" i="2"/>
  <c r="F171" i="2"/>
  <c r="H170" i="2"/>
  <c r="F170" i="2"/>
  <c r="H169" i="2"/>
  <c r="F169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H128" i="2"/>
  <c r="F128" i="2"/>
  <c r="H127" i="2"/>
  <c r="F127" i="2"/>
  <c r="H126" i="2"/>
  <c r="F126" i="2"/>
  <c r="H125" i="2"/>
  <c r="F125" i="2"/>
  <c r="H124" i="2"/>
  <c r="F124" i="2"/>
  <c r="H123" i="2"/>
  <c r="F123" i="2"/>
  <c r="H122" i="2"/>
  <c r="F122" i="2"/>
  <c r="H121" i="2"/>
  <c r="F121" i="2"/>
  <c r="H120" i="2"/>
  <c r="F120" i="2"/>
  <c r="H119" i="2"/>
  <c r="F119" i="2"/>
  <c r="H118" i="2"/>
  <c r="F118" i="2"/>
  <c r="H117" i="2"/>
  <c r="F117" i="2"/>
  <c r="H116" i="2"/>
  <c r="F116" i="2"/>
  <c r="H115" i="2"/>
  <c r="F115" i="2"/>
  <c r="H114" i="2"/>
  <c r="F114" i="2"/>
  <c r="H113" i="2"/>
  <c r="F113" i="2"/>
  <c r="H112" i="2"/>
  <c r="F112" i="2"/>
  <c r="H111" i="2"/>
  <c r="F111" i="2"/>
  <c r="H110" i="2"/>
  <c r="F110" i="2"/>
  <c r="H109" i="2"/>
  <c r="F109" i="2"/>
  <c r="H108" i="2"/>
  <c r="F108" i="2"/>
  <c r="H107" i="2"/>
  <c r="F107" i="2"/>
  <c r="H106" i="2"/>
  <c r="F106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F96" i="2"/>
  <c r="H95" i="2"/>
  <c r="F95" i="2"/>
  <c r="H94" i="2"/>
  <c r="F94" i="2"/>
  <c r="H93" i="2"/>
  <c r="F93" i="2"/>
  <c r="H92" i="2"/>
  <c r="F92" i="2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F83" i="2"/>
  <c r="H82" i="2"/>
  <c r="F82" i="2"/>
  <c r="H81" i="2"/>
  <c r="F81" i="2"/>
  <c r="H80" i="2"/>
  <c r="F80" i="2"/>
  <c r="H79" i="2"/>
  <c r="F79" i="2"/>
  <c r="H78" i="2"/>
  <c r="F78" i="2"/>
  <c r="H77" i="2"/>
  <c r="F77" i="2"/>
  <c r="H76" i="2"/>
  <c r="F76" i="2"/>
  <c r="H75" i="2"/>
  <c r="F75" i="2"/>
  <c r="H74" i="2"/>
  <c r="F74" i="2"/>
  <c r="F69" i="2"/>
  <c r="H68" i="2"/>
  <c r="F68" i="2"/>
  <c r="H67" i="2"/>
  <c r="F67" i="2"/>
  <c r="H66" i="2"/>
  <c r="F66" i="2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F3" i="2"/>
  <c r="H2" i="2"/>
  <c r="F2" i="2"/>
  <c r="H161" i="2"/>
  <c r="F161" i="2"/>
  <c r="H160" i="2"/>
  <c r="F160" i="2"/>
  <c r="H159" i="2"/>
  <c r="F159" i="2"/>
  <c r="H73" i="2"/>
  <c r="F73" i="2"/>
  <c r="H72" i="2"/>
  <c r="F72" i="2"/>
  <c r="H71" i="2"/>
  <c r="F71" i="2"/>
  <c r="H70" i="2"/>
  <c r="F70" i="2"/>
</calcChain>
</file>

<file path=xl/sharedStrings.xml><?xml version="1.0" encoding="utf-8"?>
<sst xmlns="http://schemas.openxmlformats.org/spreadsheetml/2006/main" count="513" uniqueCount="262">
  <si>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</si>
  <si>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</si>
  <si>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</si>
  <si>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</si>
  <si>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</si>
  <si>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</si>
  <si>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</si>
  <si>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</si>
  <si>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</si>
  <si>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</si>
  <si>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</si>
  <si>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</si>
  <si>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</si>
  <si>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</si>
  <si>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</si>
  <si>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</si>
  <si>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</si>
  <si>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</si>
  <si>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</si>
  <si>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</si>
  <si>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</si>
  <si>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</si>
  <si>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</si>
  <si>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</si>
  <si>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</si>
  <si>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</si>
  <si>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</si>
  <si>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</si>
  <si>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</si>
  <si>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</si>
  <si>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Barro Alto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</si>
  <si>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</si>
  <si>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</si>
  <si>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</si>
  <si>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</si>
  <si>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</si>
  <si>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</si>
  <si>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</si>
  <si>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</si>
  <si>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</si>
  <si>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</si>
  <si>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</si>
  <si>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</si>
  <si>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</si>
  <si>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</si>
  <si>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</si>
  <si>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</si>
  <si>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</si>
  <si>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</si>
  <si>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</si>
  <si>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</si>
  <si>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</si>
  <si>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</si>
  <si>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</si>
  <si>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</si>
  <si>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</si>
  <si>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</si>
  <si>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</si>
  <si>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</si>
  <si>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</si>
  <si>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</si>
  <si>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</si>
  <si>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</si>
  <si>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</si>
  <si>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</si>
  <si>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</si>
  <si>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</si>
  <si>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</si>
  <si>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</si>
  <si>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</si>
  <si>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</si>
  <si>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</si>
  <si>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</si>
  <si>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</si>
  <si>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</si>
  <si>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</si>
  <si>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</si>
  <si>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</si>
  <si>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</si>
  <si>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</si>
  <si>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</si>
  <si>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</si>
  <si>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</si>
  <si>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</si>
  <si>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</si>
  <si>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</si>
  <si>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</si>
  <si>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</si>
  <si>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</si>
  <si>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</si>
  <si>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</si>
  <si>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</si>
  <si>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</si>
  <si>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</si>
  <si>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</si>
  <si>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</si>
  <si>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</si>
  <si>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</si>
  <si>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</si>
  <si>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</si>
  <si>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</si>
  <si>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</si>
  <si>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</si>
  <si>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</si>
  <si>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Hidrolândia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</si>
  <si>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</si>
  <si>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</si>
  <si>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</si>
  <si>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</si>
  <si>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</si>
  <si>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</si>
  <si>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</si>
  <si>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</si>
  <si>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</si>
  <si>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</si>
  <si>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</si>
  <si>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</si>
  <si>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</si>
  <si>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</si>
  <si>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</si>
  <si>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</si>
  <si>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</si>
  <si>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</si>
  <si>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</si>
  <si>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</si>
  <si>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</si>
  <si>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</si>
  <si>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</si>
  <si>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</si>
  <si>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</si>
  <si>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</si>
  <si>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Jussara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</si>
  <si>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</si>
  <si>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</si>
  <si>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</si>
  <si>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</si>
  <si>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</si>
  <si>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</si>
  <si>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</si>
  <si>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</si>
  <si>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</si>
  <si>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</si>
  <si>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</si>
  <si>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</si>
  <si>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</si>
  <si>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</si>
  <si>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</si>
  <si>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</si>
  <si>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</si>
  <si>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Morrinhos</t>
  </si>
  <si>
    <t>Morro Agudo de Goiás</t>
  </si>
  <si>
    <t>Mossâmedes</t>
  </si>
  <si>
    <t>Mozarlândia</t>
  </si>
  <si>
    <t>Mundo Novo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</si>
  <si>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</si>
  <si>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</si>
  <si>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</si>
  <si>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</si>
  <si>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</si>
  <si>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</si>
  <si>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</si>
  <si>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</si>
  <si>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</si>
  <si>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</si>
  <si>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</si>
  <si>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</si>
  <si>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</si>
  <si>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</si>
  <si>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</si>
  <si>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</si>
  <si>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</si>
  <si>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</si>
  <si>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</si>
  <si>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</si>
  <si>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</si>
  <si>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</si>
  <si>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</si>
  <si>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</si>
  <si>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</si>
  <si>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</si>
  <si>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</si>
  <si>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</si>
  <si>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</si>
  <si>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Piranhas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</si>
  <si>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</si>
  <si>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</si>
  <si>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</si>
  <si>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</si>
  <si>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</si>
  <si>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</si>
  <si>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</si>
  <si>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</si>
  <si>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</si>
  <si>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</si>
  <si>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</si>
  <si>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</si>
  <si>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</si>
  <si>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</si>
  <si>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</si>
  <si>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</si>
  <si>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</si>
  <si>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</si>
  <si>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</si>
  <si>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</si>
  <si>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</si>
  <si>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</si>
  <si>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</si>
  <si>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</si>
  <si>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</si>
  <si>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</si>
  <si>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</si>
  <si>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</si>
  <si>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</si>
  <si>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Domingos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</si>
  <si>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</si>
  <si>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</si>
  <si>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</si>
  <si>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</si>
  <si>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</si>
  <si>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</si>
  <si>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</si>
  <si>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</si>
  <si>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</si>
  <si>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</si>
  <si>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</si>
  <si>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</si>
  <si>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</si>
  <si>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</si>
  <si>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</si>
  <si>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</si>
  <si>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</si>
  <si>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</si>
  <si>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</si>
  <si>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</si>
  <si>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</si>
  <si>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</si>
  <si>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</si>
  <si>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</si>
  <si>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</si>
  <si>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</si>
  <si>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</si>
  <si>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</si>
  <si>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</si>
  <si>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</si>
  <si>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</si>
  <si>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</si>
  <si>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name</t>
  </si>
  <si>
    <t>população</t>
  </si>
  <si>
    <t>ext_pob</t>
  </si>
  <si>
    <t>% ext_pob</t>
  </si>
  <si>
    <t>pob</t>
  </si>
  <si>
    <t>% pob</t>
  </si>
  <si>
    <t>norm_ext</t>
  </si>
  <si>
    <t>norm_pob</t>
  </si>
  <si>
    <t>% pob_p1_p2</t>
  </si>
  <si>
    <t>pob_p1_p2</t>
  </si>
  <si>
    <t>norm_pob_p1_p2</t>
  </si>
  <si>
    <t>aptos</t>
  </si>
  <si>
    <t>pct_aptos_mun</t>
  </si>
  <si>
    <t>norm_aptos_mun</t>
  </si>
  <si>
    <t>pct_aptos_go</t>
  </si>
  <si>
    <t>norm_aptos_go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</si>
</sst>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3" fontId="0" fillId="3" borderId="0" xfId="0" applyNumberFormat="1" applyFill="1"/>
    <xf numFmtId="3" fontId="0" fillId="0" borderId="0" xfId="0" applyNumberFormat="1"/>
    <xf numFmtId="3" fontId="0" fillId="4" borderId="0" xfId="0" applyNumberFormat="1" applyFill="1"/>
    <xf numFmtId="0" fontId="0" fillId="4" borderId="0" xfId="0" applyFill="1"/>
    <xf numFmtId="2" fontId="0" fillId="0" borderId="0" xfId="0" applyNumberFormat="1"/>
    <xf numFmtId="3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"/>
  <sheetViews>
    <sheetView topLeftCell="A209" workbookViewId="0">
      <selection sqref="A1:C247"/>
    </sheetView>
  </sheetViews>
  <sheetFormatPr defaultRowHeight="15" x14ac:dyDescent="0.25"/>
  <cols>
    <col min="1" max="1" width="27.42578125" bestFit="1" customWidth="1"/>
    <col min="2" max="2" width="10.140625" bestFit="1" customWidth="1"/>
    <col min="3" max="3" width="8.28515625" bestFit="1" customWidth="1"/>
    <col min="4" max="4" width="10.28515625" bestFit="1" customWidth="1"/>
    <col min="5" max="5" width="10.28515625" customWidth="1"/>
    <col min="6" max="6" width="7.5703125" bestFit="1" customWidth="1"/>
    <col min="7" max="7" width="6.42578125" bestFit="1" customWidth="1"/>
    <col min="8" max="8" width="11" bestFit="1" customWidth="1"/>
    <col min="9" max="9" width="10.7109375" bestFit="1" customWidth="1"/>
    <col min="10" max="10" width="12.7109375" bestFit="1" customWidth="1"/>
    <col min="11" max="11" width="16.5703125" bestFit="1" customWidth="1"/>
    <col min="12" max="12" width="9.5703125" bestFit="1" customWidth="1"/>
  </cols>
  <sheetData>
    <row r="1" spans="1:11" x14ac:dyDescent="0.25">
      <c r="A1" t="s">
        <v>246</v>
      </c>
      <c r="B1" t="s">
        <v>247</v>
      </c>
      <c r="C1" t="s">
        <v>248</v>
      </c>
      <c r="D1" t="s">
        <v>249</v>
      </c>
      <c r="E1" s="5" t="s">
        <v>252</v>
      </c>
      <c r="F1" t="s">
        <v>250</v>
      </c>
      <c r="G1" t="s">
        <v>251</v>
      </c>
      <c r="H1" s="5" t="s">
        <v>253</v>
      </c>
      <c r="I1" t="s">
        <v>255</v>
      </c>
      <c r="J1" t="s">
        <v>254</v>
      </c>
      <c r="K1" s="5" t="s">
        <v>256</v>
      </c>
    </row>
    <row r="2" spans="1:11" x14ac:dyDescent="0.25">
      <c r="A2" t="s">
        <v>0</v>
      </c>
      <c r="B2">
        <v>22052</v>
      </c>
      <c r="C2">
        <v>3020</v>
      </c>
      <c r="D2">
        <v>13.69</v>
      </c>
      <c r="E2">
        <f>(D2-MIN(D:D))/(MAX(D:D)-MIN(D:D))</f>
        <v>0.19933953767637344</v>
      </c>
      <c r="F2">
        <v>4138</v>
      </c>
      <c r="G2">
        <v>18.760000000000002</v>
      </c>
      <c r="H2">
        <f>(G2-MIN(G:G))/(MAX(G:G)-MIN(G:G))</f>
        <v>0.75519630484988465</v>
      </c>
      <c r="I2">
        <f>C2+F2</f>
        <v>7158</v>
      </c>
      <c r="J2" s="6">
        <f>(I2/B2)*100</f>
        <v>32.459640848902595</v>
      </c>
      <c r="K2">
        <f>(J2-MIN(J:J))/(MAX(J:J)-MIN(J:J))</f>
        <v>0.38922441529045471</v>
      </c>
    </row>
    <row r="3" spans="1:11" x14ac:dyDescent="0.25">
      <c r="A3" t="s">
        <v>1</v>
      </c>
      <c r="B3">
        <v>17738</v>
      </c>
      <c r="C3">
        <v>1697</v>
      </c>
      <c r="D3">
        <v>9.57</v>
      </c>
      <c r="E3">
        <f t="shared" ref="E3:E66" si="0">(D3-MIN(D:D))/(MAX(D:D)-MIN(D:D))</f>
        <v>0.13749624737316121</v>
      </c>
      <c r="F3">
        <v>1443</v>
      </c>
      <c r="G3">
        <v>8.14</v>
      </c>
      <c r="H3">
        <f t="shared" ref="H3:H66" si="1">(G3-MIN(G:G))/(MAX(G:G)-MIN(G:G))</f>
        <v>0.26466512702078526</v>
      </c>
      <c r="I3">
        <f t="shared" ref="I3:I66" si="2">C3+F3</f>
        <v>3140</v>
      </c>
      <c r="J3" s="6">
        <f t="shared" ref="J3:J66" si="3">(I3/B3)*100</f>
        <v>17.702108467696469</v>
      </c>
      <c r="K3">
        <f t="shared" ref="K3:K66" si="4">(J3-MIN(J:J))/(MAX(J:J)-MIN(J:J))</f>
        <v>0.18084123477763084</v>
      </c>
    </row>
    <row r="4" spans="1:11" x14ac:dyDescent="0.25">
      <c r="A4" t="s">
        <v>2</v>
      </c>
      <c r="B4">
        <v>22079</v>
      </c>
      <c r="C4">
        <v>689</v>
      </c>
      <c r="D4">
        <v>3.12</v>
      </c>
      <c r="E4">
        <f t="shared" si="0"/>
        <v>4.0678474932452711E-2</v>
      </c>
      <c r="F4">
        <v>1693</v>
      </c>
      <c r="G4">
        <v>7.67</v>
      </c>
      <c r="H4">
        <f t="shared" si="1"/>
        <v>0.24295612009237877</v>
      </c>
      <c r="I4">
        <f t="shared" si="2"/>
        <v>2382</v>
      </c>
      <c r="J4" s="6">
        <f t="shared" si="3"/>
        <v>10.788532089315639</v>
      </c>
      <c r="K4">
        <f t="shared" si="4"/>
        <v>8.3218339754880286E-2</v>
      </c>
    </row>
    <row r="5" spans="1:11" x14ac:dyDescent="0.25">
      <c r="A5" t="s">
        <v>3</v>
      </c>
      <c r="B5">
        <v>2282</v>
      </c>
      <c r="C5">
        <v>187</v>
      </c>
      <c r="D5">
        <v>8.19</v>
      </c>
      <c r="E5">
        <f t="shared" si="0"/>
        <v>0.11678174722305612</v>
      </c>
      <c r="F5">
        <v>185</v>
      </c>
      <c r="G5">
        <v>8.11</v>
      </c>
      <c r="H5">
        <f t="shared" si="1"/>
        <v>0.26327944572748269</v>
      </c>
      <c r="I5">
        <f t="shared" si="2"/>
        <v>372</v>
      </c>
      <c r="J5" s="6">
        <f t="shared" si="3"/>
        <v>16.301489921121824</v>
      </c>
      <c r="K5">
        <f t="shared" si="4"/>
        <v>0.16106385331024087</v>
      </c>
    </row>
    <row r="6" spans="1:11" x14ac:dyDescent="0.25">
      <c r="A6" t="s">
        <v>4</v>
      </c>
      <c r="B6">
        <v>4979</v>
      </c>
      <c r="C6">
        <v>894</v>
      </c>
      <c r="D6">
        <v>17.96</v>
      </c>
      <c r="E6">
        <f t="shared" si="0"/>
        <v>0.26343440408285801</v>
      </c>
      <c r="F6">
        <v>413</v>
      </c>
      <c r="G6">
        <v>8.2899999999999991</v>
      </c>
      <c r="H6">
        <f t="shared" si="1"/>
        <v>0.27159353348729787</v>
      </c>
      <c r="I6">
        <f t="shared" si="2"/>
        <v>1307</v>
      </c>
      <c r="J6" s="6">
        <f t="shared" si="3"/>
        <v>26.250251054428603</v>
      </c>
      <c r="K6">
        <f t="shared" si="4"/>
        <v>0.30154496042005935</v>
      </c>
    </row>
    <row r="7" spans="1:11" x14ac:dyDescent="0.25">
      <c r="A7" t="s">
        <v>5</v>
      </c>
      <c r="B7">
        <v>1843</v>
      </c>
      <c r="C7">
        <v>598</v>
      </c>
      <c r="D7">
        <v>32.450000000000003</v>
      </c>
      <c r="E7">
        <f t="shared" si="0"/>
        <v>0.48093665565896132</v>
      </c>
      <c r="F7">
        <v>52</v>
      </c>
      <c r="G7">
        <v>2.82</v>
      </c>
      <c r="H7">
        <f t="shared" si="1"/>
        <v>1.8937644341801372E-2</v>
      </c>
      <c r="I7">
        <f t="shared" si="2"/>
        <v>650</v>
      </c>
      <c r="J7" s="6">
        <f t="shared" si="3"/>
        <v>35.268583830710796</v>
      </c>
      <c r="K7">
        <f t="shared" si="4"/>
        <v>0.42888798893599184</v>
      </c>
    </row>
    <row r="8" spans="1:11" x14ac:dyDescent="0.25">
      <c r="A8" t="s">
        <v>6</v>
      </c>
      <c r="B8">
        <v>245352</v>
      </c>
      <c r="C8">
        <v>48766</v>
      </c>
      <c r="D8">
        <v>19.88</v>
      </c>
      <c r="E8">
        <f t="shared" si="0"/>
        <v>0.29225457820474326</v>
      </c>
      <c r="F8">
        <v>16077</v>
      </c>
      <c r="G8">
        <v>6.55</v>
      </c>
      <c r="H8">
        <f t="shared" si="1"/>
        <v>0.19122401847575057</v>
      </c>
      <c r="I8">
        <f t="shared" si="2"/>
        <v>64843</v>
      </c>
      <c r="J8" s="6">
        <f t="shared" si="3"/>
        <v>26.42855978349473</v>
      </c>
      <c r="K8">
        <f t="shared" si="4"/>
        <v>0.30406276211726713</v>
      </c>
    </row>
    <row r="9" spans="1:11" x14ac:dyDescent="0.25">
      <c r="A9" t="s">
        <v>7</v>
      </c>
      <c r="B9">
        <v>28244</v>
      </c>
      <c r="C9">
        <v>9296</v>
      </c>
      <c r="D9">
        <v>32.909999999999997</v>
      </c>
      <c r="E9">
        <f t="shared" si="0"/>
        <v>0.4878414890423296</v>
      </c>
      <c r="F9">
        <v>964</v>
      </c>
      <c r="G9">
        <v>3.41</v>
      </c>
      <c r="H9">
        <f t="shared" si="1"/>
        <v>4.6189376443418015E-2</v>
      </c>
      <c r="I9">
        <f t="shared" si="2"/>
        <v>10260</v>
      </c>
      <c r="J9" s="6">
        <f t="shared" si="3"/>
        <v>36.326299391021102</v>
      </c>
      <c r="K9">
        <f t="shared" si="4"/>
        <v>0.44382342169276218</v>
      </c>
    </row>
    <row r="10" spans="1:11" x14ac:dyDescent="0.25">
      <c r="A10" t="s">
        <v>8</v>
      </c>
      <c r="B10">
        <v>1977</v>
      </c>
      <c r="C10">
        <v>113</v>
      </c>
      <c r="D10">
        <v>5.72</v>
      </c>
      <c r="E10">
        <f t="shared" si="0"/>
        <v>7.970579405583908E-2</v>
      </c>
      <c r="F10">
        <v>201</v>
      </c>
      <c r="G10">
        <v>10.17</v>
      </c>
      <c r="H10">
        <f t="shared" si="1"/>
        <v>0.35842956120092379</v>
      </c>
      <c r="I10">
        <f t="shared" si="2"/>
        <v>314</v>
      </c>
      <c r="J10" s="6">
        <f t="shared" si="3"/>
        <v>15.882650480526051</v>
      </c>
      <c r="K10">
        <f t="shared" si="4"/>
        <v>0.15514964675449514</v>
      </c>
    </row>
    <row r="11" spans="1:11" x14ac:dyDescent="0.25">
      <c r="A11" t="s">
        <v>9</v>
      </c>
      <c r="B11">
        <v>6487</v>
      </c>
      <c r="C11">
        <v>1231</v>
      </c>
      <c r="D11">
        <v>18.98</v>
      </c>
      <c r="E11">
        <f t="shared" si="0"/>
        <v>0.27874512158510956</v>
      </c>
      <c r="F11">
        <v>283</v>
      </c>
      <c r="G11">
        <v>4.3600000000000003</v>
      </c>
      <c r="H11">
        <f t="shared" si="1"/>
        <v>9.0069284064665148E-2</v>
      </c>
      <c r="I11">
        <f t="shared" si="2"/>
        <v>1514</v>
      </c>
      <c r="J11" s="6">
        <f t="shared" si="3"/>
        <v>23.338985663634961</v>
      </c>
      <c r="K11">
        <f t="shared" si="4"/>
        <v>0.26043654704987601</v>
      </c>
    </row>
    <row r="12" spans="1:11" x14ac:dyDescent="0.25">
      <c r="A12" t="s">
        <v>10</v>
      </c>
      <c r="B12">
        <v>11182</v>
      </c>
      <c r="C12">
        <v>2379</v>
      </c>
      <c r="D12">
        <v>21.28</v>
      </c>
      <c r="E12">
        <f t="shared" si="0"/>
        <v>0.31326928850195135</v>
      </c>
      <c r="F12">
        <v>415</v>
      </c>
      <c r="G12">
        <v>3.71</v>
      </c>
      <c r="H12">
        <f t="shared" si="1"/>
        <v>6.0046189376443411E-2</v>
      </c>
      <c r="I12">
        <f t="shared" si="2"/>
        <v>2794</v>
      </c>
      <c r="J12" s="6">
        <f t="shared" si="3"/>
        <v>24.986585583974243</v>
      </c>
      <c r="K12">
        <f t="shared" si="4"/>
        <v>0.28370141970908913</v>
      </c>
    </row>
    <row r="13" spans="1:11" x14ac:dyDescent="0.25">
      <c r="A13" t="s">
        <v>11</v>
      </c>
      <c r="B13">
        <v>8619</v>
      </c>
      <c r="C13">
        <v>1067</v>
      </c>
      <c r="D13">
        <v>12.38</v>
      </c>
      <c r="E13">
        <f t="shared" si="0"/>
        <v>0.17967577304112878</v>
      </c>
      <c r="F13">
        <v>983</v>
      </c>
      <c r="G13">
        <v>11.41</v>
      </c>
      <c r="H13">
        <f t="shared" si="1"/>
        <v>0.41570438799076215</v>
      </c>
      <c r="I13">
        <f t="shared" si="2"/>
        <v>2050</v>
      </c>
      <c r="J13" s="6">
        <f t="shared" si="3"/>
        <v>23.784661793711567</v>
      </c>
      <c r="K13">
        <f t="shared" si="4"/>
        <v>0.2667297000692983</v>
      </c>
    </row>
    <row r="14" spans="1:11" x14ac:dyDescent="0.25">
      <c r="A14" t="s">
        <v>12</v>
      </c>
      <c r="B14">
        <v>3267</v>
      </c>
      <c r="C14">
        <v>240</v>
      </c>
      <c r="D14">
        <v>7.35</v>
      </c>
      <c r="E14">
        <f t="shared" si="0"/>
        <v>0.1041729210447313</v>
      </c>
      <c r="F14">
        <v>634</v>
      </c>
      <c r="G14">
        <v>19.41</v>
      </c>
      <c r="H14">
        <f t="shared" si="1"/>
        <v>0.78521939953810627</v>
      </c>
      <c r="I14">
        <f t="shared" si="2"/>
        <v>874</v>
      </c>
      <c r="J14" s="6">
        <f t="shared" si="3"/>
        <v>26.752372206917663</v>
      </c>
      <c r="K14">
        <f t="shared" si="4"/>
        <v>0.30863514325385666</v>
      </c>
    </row>
    <row r="15" spans="1:11" x14ac:dyDescent="0.25">
      <c r="A15" t="s">
        <v>13</v>
      </c>
      <c r="B15">
        <v>5260</v>
      </c>
      <c r="C15">
        <v>657</v>
      </c>
      <c r="D15">
        <v>12.49</v>
      </c>
      <c r="E15">
        <f t="shared" si="0"/>
        <v>0.18132692885019513</v>
      </c>
      <c r="F15">
        <v>522</v>
      </c>
      <c r="G15">
        <v>9.92</v>
      </c>
      <c r="H15">
        <f t="shared" si="1"/>
        <v>0.34688221709006928</v>
      </c>
      <c r="I15">
        <f t="shared" si="2"/>
        <v>1179</v>
      </c>
      <c r="J15" s="6">
        <f t="shared" si="3"/>
        <v>22.414448669201519</v>
      </c>
      <c r="K15">
        <f t="shared" si="4"/>
        <v>0.24738165721970631</v>
      </c>
    </row>
    <row r="16" spans="1:11" x14ac:dyDescent="0.25">
      <c r="A16" t="s">
        <v>14</v>
      </c>
      <c r="B16">
        <v>2906</v>
      </c>
      <c r="C16">
        <v>709</v>
      </c>
      <c r="D16">
        <v>24.4</v>
      </c>
      <c r="E16">
        <f t="shared" si="0"/>
        <v>0.36010207145001494</v>
      </c>
      <c r="F16">
        <v>188</v>
      </c>
      <c r="G16">
        <v>6.47</v>
      </c>
      <c r="H16">
        <f t="shared" si="1"/>
        <v>0.18752886836027713</v>
      </c>
      <c r="I16">
        <f t="shared" si="2"/>
        <v>897</v>
      </c>
      <c r="J16" s="6">
        <f t="shared" si="3"/>
        <v>30.867171369580177</v>
      </c>
      <c r="K16">
        <f t="shared" si="4"/>
        <v>0.36673800994850114</v>
      </c>
    </row>
    <row r="17" spans="1:11" x14ac:dyDescent="0.25">
      <c r="A17" t="s">
        <v>15</v>
      </c>
      <c r="B17">
        <v>420300</v>
      </c>
      <c r="C17">
        <v>1716</v>
      </c>
      <c r="D17">
        <v>0.41</v>
      </c>
      <c r="E17">
        <f t="shared" si="0"/>
        <v>0</v>
      </c>
      <c r="F17">
        <v>18858</v>
      </c>
      <c r="G17">
        <v>4.49</v>
      </c>
      <c r="H17">
        <f t="shared" si="1"/>
        <v>9.6073903002309474E-2</v>
      </c>
      <c r="I17">
        <f t="shared" si="2"/>
        <v>20574</v>
      </c>
      <c r="J17" s="6">
        <f t="shared" si="3"/>
        <v>4.89507494646681</v>
      </c>
      <c r="K17">
        <f t="shared" si="4"/>
        <v>0</v>
      </c>
    </row>
    <row r="18" spans="1:11" x14ac:dyDescent="0.25">
      <c r="A18" t="s">
        <v>16</v>
      </c>
      <c r="B18">
        <v>913</v>
      </c>
      <c r="C18">
        <v>137</v>
      </c>
      <c r="D18">
        <v>15.01</v>
      </c>
      <c r="E18">
        <f t="shared" si="0"/>
        <v>0.21915340738516959</v>
      </c>
      <c r="F18">
        <v>33</v>
      </c>
      <c r="G18">
        <v>3.61</v>
      </c>
      <c r="H18">
        <f t="shared" si="1"/>
        <v>5.5427251732101605E-2</v>
      </c>
      <c r="I18">
        <f t="shared" si="2"/>
        <v>170</v>
      </c>
      <c r="J18" s="6">
        <f t="shared" si="3"/>
        <v>18.619934282584886</v>
      </c>
      <c r="K18">
        <f t="shared" si="4"/>
        <v>0.1938013596496449</v>
      </c>
    </row>
    <row r="19" spans="1:11" x14ac:dyDescent="0.25">
      <c r="A19" t="s">
        <v>17</v>
      </c>
      <c r="B19">
        <v>18306</v>
      </c>
      <c r="C19">
        <v>1493</v>
      </c>
      <c r="D19">
        <v>8.16</v>
      </c>
      <c r="E19">
        <f t="shared" si="0"/>
        <v>0.11633143200240167</v>
      </c>
      <c r="F19">
        <v>1947</v>
      </c>
      <c r="G19">
        <v>10.64</v>
      </c>
      <c r="H19">
        <f t="shared" si="1"/>
        <v>0.38013856812933028</v>
      </c>
      <c r="I19">
        <f t="shared" si="2"/>
        <v>3440</v>
      </c>
      <c r="J19" s="6">
        <f t="shared" si="3"/>
        <v>18.791653009942095</v>
      </c>
      <c r="K19">
        <f t="shared" si="4"/>
        <v>0.19622610747577063</v>
      </c>
    </row>
    <row r="20" spans="1:11" x14ac:dyDescent="0.25">
      <c r="A20" t="s">
        <v>18</v>
      </c>
      <c r="B20">
        <v>556021</v>
      </c>
      <c r="C20">
        <v>15091</v>
      </c>
      <c r="D20">
        <v>2.71</v>
      </c>
      <c r="E20">
        <f t="shared" si="0"/>
        <v>3.4524166916841785E-2</v>
      </c>
      <c r="F20">
        <v>36243</v>
      </c>
      <c r="G20">
        <v>6.52</v>
      </c>
      <c r="H20">
        <f t="shared" si="1"/>
        <v>0.18983833718244802</v>
      </c>
      <c r="I20">
        <f t="shared" si="2"/>
        <v>51334</v>
      </c>
      <c r="J20" s="6">
        <f t="shared" si="3"/>
        <v>9.2323851077567216</v>
      </c>
      <c r="K20">
        <f t="shared" si="4"/>
        <v>6.1244824875411309E-2</v>
      </c>
    </row>
    <row r="21" spans="1:11" x14ac:dyDescent="0.25">
      <c r="A21" t="s">
        <v>19</v>
      </c>
      <c r="B21">
        <v>3045</v>
      </c>
      <c r="C21">
        <v>111</v>
      </c>
      <c r="D21">
        <v>3.65</v>
      </c>
      <c r="E21">
        <f t="shared" si="0"/>
        <v>4.863404383068147E-2</v>
      </c>
      <c r="F21">
        <v>206</v>
      </c>
      <c r="G21">
        <v>6.77</v>
      </c>
      <c r="H21">
        <f t="shared" si="1"/>
        <v>0.20138568129330253</v>
      </c>
      <c r="I21">
        <f t="shared" si="2"/>
        <v>317</v>
      </c>
      <c r="J21" s="6">
        <f t="shared" si="3"/>
        <v>10.410509031198686</v>
      </c>
      <c r="K21">
        <f t="shared" si="4"/>
        <v>7.7880479391591234E-2</v>
      </c>
    </row>
    <row r="22" spans="1:11" x14ac:dyDescent="0.25">
      <c r="A22" t="s">
        <v>20</v>
      </c>
      <c r="B22">
        <v>4488</v>
      </c>
      <c r="C22">
        <v>764</v>
      </c>
      <c r="D22">
        <v>17.02</v>
      </c>
      <c r="E22">
        <f t="shared" si="0"/>
        <v>0.24932452716901829</v>
      </c>
      <c r="F22">
        <v>201</v>
      </c>
      <c r="G22">
        <v>4.4800000000000004</v>
      </c>
      <c r="H22">
        <f t="shared" si="1"/>
        <v>9.5612009237875314E-2</v>
      </c>
      <c r="I22">
        <f t="shared" si="2"/>
        <v>965</v>
      </c>
      <c r="J22" s="6">
        <f t="shared" si="3"/>
        <v>21.501782531194298</v>
      </c>
      <c r="K22">
        <f t="shared" si="4"/>
        <v>0.23449438937088204</v>
      </c>
    </row>
    <row r="23" spans="1:11" x14ac:dyDescent="0.25">
      <c r="A23" t="s">
        <v>21</v>
      </c>
      <c r="B23">
        <v>3840</v>
      </c>
      <c r="C23">
        <v>494</v>
      </c>
      <c r="D23">
        <v>12.86</v>
      </c>
      <c r="E23">
        <f t="shared" si="0"/>
        <v>0.18688081657160011</v>
      </c>
      <c r="F23">
        <v>411</v>
      </c>
      <c r="G23">
        <v>10.7</v>
      </c>
      <c r="H23">
        <f t="shared" si="1"/>
        <v>0.38290993071593532</v>
      </c>
      <c r="I23">
        <f t="shared" si="2"/>
        <v>905</v>
      </c>
      <c r="J23" s="6">
        <f t="shared" si="3"/>
        <v>23.567708333333336</v>
      </c>
      <c r="K23">
        <f t="shared" si="4"/>
        <v>0.2636662168981922</v>
      </c>
    </row>
    <row r="24" spans="1:11" x14ac:dyDescent="0.25">
      <c r="A24" t="s">
        <v>22</v>
      </c>
      <c r="B24">
        <v>18601</v>
      </c>
      <c r="C24">
        <v>2813</v>
      </c>
      <c r="D24">
        <v>15.12</v>
      </c>
      <c r="E24">
        <f t="shared" si="0"/>
        <v>0.22080456319423594</v>
      </c>
      <c r="F24">
        <v>1571</v>
      </c>
      <c r="G24">
        <v>8.4499999999999993</v>
      </c>
      <c r="H24">
        <f t="shared" si="1"/>
        <v>0.27898383371824476</v>
      </c>
      <c r="I24">
        <f t="shared" si="2"/>
        <v>4384</v>
      </c>
      <c r="J24" s="6">
        <f t="shared" si="3"/>
        <v>23.568625342723511</v>
      </c>
      <c r="K24">
        <f t="shared" si="4"/>
        <v>0.26367916549476977</v>
      </c>
    </row>
    <row r="25" spans="1:11" x14ac:dyDescent="0.25">
      <c r="A25" t="s">
        <v>23</v>
      </c>
      <c r="B25">
        <v>12806</v>
      </c>
      <c r="C25">
        <v>3940</v>
      </c>
      <c r="D25">
        <v>30.77</v>
      </c>
      <c r="E25">
        <f t="shared" si="0"/>
        <v>0.45571900330231158</v>
      </c>
      <c r="F25">
        <v>664</v>
      </c>
      <c r="G25">
        <v>5.19</v>
      </c>
      <c r="H25">
        <f t="shared" si="1"/>
        <v>0.1284064665127021</v>
      </c>
      <c r="I25">
        <f t="shared" si="2"/>
        <v>4604</v>
      </c>
      <c r="J25" s="6">
        <f t="shared" si="3"/>
        <v>35.951897548024363</v>
      </c>
      <c r="K25">
        <f t="shared" si="4"/>
        <v>0.43853669456127498</v>
      </c>
    </row>
    <row r="26" spans="1:11" x14ac:dyDescent="0.25">
      <c r="A26" t="s">
        <v>24</v>
      </c>
      <c r="B26">
        <v>7152</v>
      </c>
      <c r="C26">
        <v>1674</v>
      </c>
      <c r="D26">
        <v>23.41</v>
      </c>
      <c r="E26">
        <f t="shared" si="0"/>
        <v>0.34524166916841786</v>
      </c>
      <c r="F26">
        <v>353</v>
      </c>
      <c r="G26">
        <v>4.9400000000000004</v>
      </c>
      <c r="H26">
        <f t="shared" si="1"/>
        <v>0.11685912240184759</v>
      </c>
      <c r="I26">
        <f t="shared" si="2"/>
        <v>2027</v>
      </c>
      <c r="J26" s="6">
        <f t="shared" si="3"/>
        <v>28.341722595078302</v>
      </c>
      <c r="K26">
        <f t="shared" si="4"/>
        <v>0.33107750558646343</v>
      </c>
    </row>
    <row r="27" spans="1:11" x14ac:dyDescent="0.25">
      <c r="A27" t="s">
        <v>25</v>
      </c>
      <c r="B27">
        <v>2904</v>
      </c>
      <c r="C27">
        <v>566</v>
      </c>
      <c r="D27">
        <v>19.489999999999998</v>
      </c>
      <c r="E27">
        <f t="shared" si="0"/>
        <v>0.28640048033623533</v>
      </c>
      <c r="F27">
        <v>200</v>
      </c>
      <c r="G27">
        <v>6.89</v>
      </c>
      <c r="H27">
        <f t="shared" si="1"/>
        <v>0.2069284064665127</v>
      </c>
      <c r="I27">
        <f t="shared" si="2"/>
        <v>766</v>
      </c>
      <c r="J27" s="6">
        <f t="shared" si="3"/>
        <v>26.377410468319557</v>
      </c>
      <c r="K27">
        <f t="shared" si="4"/>
        <v>0.30334051013760488</v>
      </c>
    </row>
    <row r="28" spans="1:11" x14ac:dyDescent="0.25">
      <c r="A28" t="s">
        <v>26</v>
      </c>
      <c r="B28">
        <v>8570</v>
      </c>
      <c r="C28">
        <v>38</v>
      </c>
      <c r="D28">
        <v>0.44</v>
      </c>
      <c r="E28">
        <f t="shared" si="0"/>
        <v>4.5031522065445848E-4</v>
      </c>
      <c r="F28">
        <v>1135</v>
      </c>
      <c r="G28">
        <v>13.24</v>
      </c>
      <c r="H28">
        <f t="shared" si="1"/>
        <v>0.50023094688221714</v>
      </c>
      <c r="I28">
        <f t="shared" si="2"/>
        <v>1173</v>
      </c>
      <c r="J28" s="6">
        <f t="shared" si="3"/>
        <v>13.68728121353559</v>
      </c>
      <c r="K28">
        <f t="shared" si="4"/>
        <v>0.12415001765402424</v>
      </c>
    </row>
    <row r="29" spans="1:11" x14ac:dyDescent="0.25">
      <c r="A29" t="s">
        <v>27</v>
      </c>
      <c r="B29">
        <v>3237</v>
      </c>
      <c r="C29">
        <v>171</v>
      </c>
      <c r="D29">
        <v>5.28</v>
      </c>
      <c r="E29">
        <f t="shared" si="0"/>
        <v>7.3101170819573694E-2</v>
      </c>
      <c r="F29">
        <v>315</v>
      </c>
      <c r="G29">
        <v>9.73</v>
      </c>
      <c r="H29">
        <f t="shared" si="1"/>
        <v>0.33810623556581992</v>
      </c>
      <c r="I29">
        <f t="shared" si="2"/>
        <v>486</v>
      </c>
      <c r="J29" s="6">
        <f t="shared" si="3"/>
        <v>15.013901760889715</v>
      </c>
      <c r="K29">
        <f t="shared" si="4"/>
        <v>0.14288251315871794</v>
      </c>
    </row>
    <row r="30" spans="1:11" x14ac:dyDescent="0.25">
      <c r="A30" t="s">
        <v>28</v>
      </c>
      <c r="B30">
        <v>2993</v>
      </c>
      <c r="C30">
        <v>652</v>
      </c>
      <c r="D30">
        <v>21.78</v>
      </c>
      <c r="E30">
        <f t="shared" si="0"/>
        <v>0.32077454217952567</v>
      </c>
      <c r="F30">
        <v>182</v>
      </c>
      <c r="G30">
        <v>6.08</v>
      </c>
      <c r="H30">
        <f t="shared" si="1"/>
        <v>0.16951501154734411</v>
      </c>
      <c r="I30">
        <f t="shared" si="2"/>
        <v>834</v>
      </c>
      <c r="J30" s="6">
        <f t="shared" si="3"/>
        <v>27.865018376211161</v>
      </c>
      <c r="K30">
        <f t="shared" si="4"/>
        <v>0.3243462216071768</v>
      </c>
    </row>
    <row r="31" spans="1:11" x14ac:dyDescent="0.25">
      <c r="A31" t="s">
        <v>29</v>
      </c>
      <c r="B31">
        <v>3306</v>
      </c>
      <c r="C31">
        <v>896</v>
      </c>
      <c r="D31">
        <v>27.1</v>
      </c>
      <c r="E31">
        <f t="shared" si="0"/>
        <v>0.40063044130891623</v>
      </c>
      <c r="F31">
        <v>369</v>
      </c>
      <c r="G31">
        <v>11.16</v>
      </c>
      <c r="H31">
        <f t="shared" si="1"/>
        <v>0.40415704387990764</v>
      </c>
      <c r="I31">
        <f t="shared" si="2"/>
        <v>1265</v>
      </c>
      <c r="J31" s="6">
        <f t="shared" si="3"/>
        <v>38.263762855414399</v>
      </c>
      <c r="K31">
        <f t="shared" si="4"/>
        <v>0.4711813016152776</v>
      </c>
    </row>
    <row r="32" spans="1:11" x14ac:dyDescent="0.25">
      <c r="A32" t="s">
        <v>30</v>
      </c>
      <c r="B32">
        <v>10853</v>
      </c>
      <c r="C32">
        <v>1628</v>
      </c>
      <c r="D32">
        <v>15</v>
      </c>
      <c r="E32">
        <f t="shared" si="0"/>
        <v>0.2190033023116181</v>
      </c>
      <c r="F32">
        <v>664</v>
      </c>
      <c r="G32">
        <v>6.12</v>
      </c>
      <c r="H32">
        <f t="shared" si="1"/>
        <v>0.17136258660508083</v>
      </c>
      <c r="I32">
        <f t="shared" si="2"/>
        <v>2292</v>
      </c>
      <c r="J32" s="6">
        <f t="shared" si="3"/>
        <v>21.11858472311803</v>
      </c>
      <c r="K32">
        <f t="shared" si="4"/>
        <v>0.22908345914557096</v>
      </c>
    </row>
    <row r="33" spans="1:11" x14ac:dyDescent="0.25">
      <c r="A33" t="s">
        <v>31</v>
      </c>
      <c r="B33">
        <v>37305</v>
      </c>
      <c r="C33">
        <v>5854</v>
      </c>
      <c r="D33">
        <v>15.69</v>
      </c>
      <c r="E33">
        <f t="shared" si="0"/>
        <v>0.22936055238667064</v>
      </c>
      <c r="F33">
        <v>1671</v>
      </c>
      <c r="G33">
        <v>4.4800000000000004</v>
      </c>
      <c r="H33">
        <f t="shared" si="1"/>
        <v>9.5612009237875314E-2</v>
      </c>
      <c r="I33">
        <f t="shared" si="2"/>
        <v>7525</v>
      </c>
      <c r="J33" s="6">
        <f t="shared" si="3"/>
        <v>20.171558772282534</v>
      </c>
      <c r="K33">
        <f t="shared" si="4"/>
        <v>0.21571101485301417</v>
      </c>
    </row>
    <row r="34" spans="1:11" x14ac:dyDescent="0.25">
      <c r="A34" t="s">
        <v>32</v>
      </c>
      <c r="B34">
        <v>7775</v>
      </c>
      <c r="C34">
        <v>1134</v>
      </c>
      <c r="D34">
        <v>14.59</v>
      </c>
      <c r="E34">
        <f t="shared" si="0"/>
        <v>0.21284899429600718</v>
      </c>
      <c r="F34">
        <v>1047</v>
      </c>
      <c r="G34">
        <v>13.47</v>
      </c>
      <c r="H34">
        <f t="shared" si="1"/>
        <v>0.51085450346420325</v>
      </c>
      <c r="I34">
        <f t="shared" si="2"/>
        <v>2181</v>
      </c>
      <c r="J34" s="6">
        <f t="shared" si="3"/>
        <v>28.05144694533762</v>
      </c>
      <c r="K34">
        <f t="shared" si="4"/>
        <v>0.32697867920032431</v>
      </c>
    </row>
    <row r="35" spans="1:11" x14ac:dyDescent="0.25">
      <c r="A35" t="s">
        <v>33</v>
      </c>
      <c r="B35">
        <v>24925</v>
      </c>
      <c r="C35">
        <v>1401</v>
      </c>
      <c r="D35">
        <v>5.62</v>
      </c>
      <c r="E35">
        <f t="shared" si="0"/>
        <v>7.8204743320324219E-2</v>
      </c>
      <c r="F35">
        <v>2339</v>
      </c>
      <c r="G35">
        <v>9.3800000000000008</v>
      </c>
      <c r="H35">
        <f t="shared" si="1"/>
        <v>0.32193995381062362</v>
      </c>
      <c r="I35">
        <f t="shared" si="2"/>
        <v>3740</v>
      </c>
      <c r="J35" s="6">
        <f t="shared" si="3"/>
        <v>15.005015045135405</v>
      </c>
      <c r="K35">
        <f t="shared" si="4"/>
        <v>0.1427570286234067</v>
      </c>
    </row>
    <row r="36" spans="1:11" x14ac:dyDescent="0.25">
      <c r="A36" t="s">
        <v>34</v>
      </c>
      <c r="B36">
        <v>11025</v>
      </c>
      <c r="C36">
        <v>725</v>
      </c>
      <c r="D36">
        <v>6.58</v>
      </c>
      <c r="E36">
        <f t="shared" si="0"/>
        <v>9.2614830381266874E-2</v>
      </c>
      <c r="F36">
        <v>1200</v>
      </c>
      <c r="G36">
        <v>10.88</v>
      </c>
      <c r="H36">
        <f t="shared" si="1"/>
        <v>0.39122401847575061</v>
      </c>
      <c r="I36">
        <f t="shared" si="2"/>
        <v>1925</v>
      </c>
      <c r="J36" s="6">
        <f t="shared" si="3"/>
        <v>17.460317460317459</v>
      </c>
      <c r="K36">
        <f t="shared" si="4"/>
        <v>0.17742703395898962</v>
      </c>
    </row>
    <row r="37" spans="1:11" x14ac:dyDescent="0.25">
      <c r="A37" t="s">
        <v>35</v>
      </c>
      <c r="B37">
        <v>3289</v>
      </c>
      <c r="C37">
        <v>725</v>
      </c>
      <c r="D37">
        <v>22.04</v>
      </c>
      <c r="E37">
        <f t="shared" si="0"/>
        <v>0.32467727409186425</v>
      </c>
      <c r="F37">
        <v>485</v>
      </c>
      <c r="G37">
        <v>14.75</v>
      </c>
      <c r="H37">
        <f t="shared" si="1"/>
        <v>0.56997690531177836</v>
      </c>
      <c r="I37">
        <f t="shared" si="2"/>
        <v>1210</v>
      </c>
      <c r="J37" s="6">
        <f t="shared" si="3"/>
        <v>36.789297658862871</v>
      </c>
      <c r="K37">
        <f t="shared" si="4"/>
        <v>0.45036117130648934</v>
      </c>
    </row>
    <row r="38" spans="1:11" x14ac:dyDescent="0.25">
      <c r="A38" t="s">
        <v>36</v>
      </c>
      <c r="B38">
        <v>4201</v>
      </c>
      <c r="C38">
        <v>528</v>
      </c>
      <c r="D38">
        <v>12.57</v>
      </c>
      <c r="E38">
        <f t="shared" si="0"/>
        <v>0.18252776943860702</v>
      </c>
      <c r="F38">
        <v>218</v>
      </c>
      <c r="G38">
        <v>5.19</v>
      </c>
      <c r="H38">
        <f t="shared" si="1"/>
        <v>0.1284064665127021</v>
      </c>
      <c r="I38">
        <f t="shared" si="2"/>
        <v>746</v>
      </c>
      <c r="J38" s="6">
        <f t="shared" si="3"/>
        <v>17.757676743632469</v>
      </c>
      <c r="K38">
        <f t="shared" si="4"/>
        <v>0.18162588452638589</v>
      </c>
    </row>
    <row r="39" spans="1:11" x14ac:dyDescent="0.25">
      <c r="A39" t="s">
        <v>37</v>
      </c>
      <c r="B39">
        <v>5798</v>
      </c>
      <c r="C39">
        <v>464</v>
      </c>
      <c r="D39">
        <v>8</v>
      </c>
      <c r="E39">
        <f t="shared" si="0"/>
        <v>0.11392975082557789</v>
      </c>
      <c r="F39">
        <v>392</v>
      </c>
      <c r="G39">
        <v>6.76</v>
      </c>
      <c r="H39">
        <f t="shared" si="1"/>
        <v>0.20092378752886836</v>
      </c>
      <c r="I39">
        <f t="shared" si="2"/>
        <v>856</v>
      </c>
      <c r="J39" s="6">
        <f t="shared" si="3"/>
        <v>14.763711624698173</v>
      </c>
      <c r="K39">
        <f t="shared" si="4"/>
        <v>0.13934971275782404</v>
      </c>
    </row>
    <row r="40" spans="1:11" x14ac:dyDescent="0.25">
      <c r="A40" t="s">
        <v>38</v>
      </c>
      <c r="B40">
        <v>10930</v>
      </c>
      <c r="C40">
        <v>293</v>
      </c>
      <c r="D40">
        <v>2.68</v>
      </c>
      <c r="E40">
        <f t="shared" si="0"/>
        <v>3.4073851696187332E-2</v>
      </c>
      <c r="F40">
        <v>693</v>
      </c>
      <c r="G40">
        <v>6.34</v>
      </c>
      <c r="H40">
        <f t="shared" si="1"/>
        <v>0.18152424942263279</v>
      </c>
      <c r="I40">
        <f t="shared" si="2"/>
        <v>986</v>
      </c>
      <c r="J40" s="6">
        <f t="shared" si="3"/>
        <v>9.0210430009149132</v>
      </c>
      <c r="K40">
        <f t="shared" si="4"/>
        <v>5.8260576610703947E-2</v>
      </c>
    </row>
    <row r="41" spans="1:11" x14ac:dyDescent="0.25">
      <c r="A41" t="s">
        <v>39</v>
      </c>
      <c r="B41">
        <v>2800</v>
      </c>
      <c r="C41">
        <v>579</v>
      </c>
      <c r="D41">
        <v>20.68</v>
      </c>
      <c r="E41">
        <f t="shared" si="0"/>
        <v>0.30426298408886215</v>
      </c>
      <c r="F41">
        <v>161</v>
      </c>
      <c r="G41">
        <v>5.75</v>
      </c>
      <c r="H41">
        <f t="shared" si="1"/>
        <v>0.15427251732101616</v>
      </c>
      <c r="I41">
        <f t="shared" si="2"/>
        <v>740</v>
      </c>
      <c r="J41" s="6">
        <f t="shared" si="3"/>
        <v>26.428571428571431</v>
      </c>
      <c r="K41">
        <f t="shared" si="4"/>
        <v>0.30406292655113432</v>
      </c>
    </row>
    <row r="42" spans="1:11" x14ac:dyDescent="0.25">
      <c r="A42" t="s">
        <v>40</v>
      </c>
      <c r="B42">
        <v>3140</v>
      </c>
      <c r="C42">
        <v>962</v>
      </c>
      <c r="D42">
        <v>30.64</v>
      </c>
      <c r="E42">
        <f t="shared" si="0"/>
        <v>0.45376763734614228</v>
      </c>
      <c r="F42">
        <v>331</v>
      </c>
      <c r="G42">
        <v>10.54</v>
      </c>
      <c r="H42">
        <f t="shared" si="1"/>
        <v>0.37551963048498843</v>
      </c>
      <c r="I42">
        <f t="shared" si="2"/>
        <v>1293</v>
      </c>
      <c r="J42" s="6">
        <f t="shared" si="3"/>
        <v>41.178343949044589</v>
      </c>
      <c r="K42">
        <f t="shared" si="4"/>
        <v>0.51233653424256087</v>
      </c>
    </row>
    <row r="43" spans="1:11" x14ac:dyDescent="0.25">
      <c r="A43" t="s">
        <v>41</v>
      </c>
      <c r="B43">
        <v>7689</v>
      </c>
      <c r="C43">
        <v>1993</v>
      </c>
      <c r="D43">
        <v>25.92</v>
      </c>
      <c r="E43">
        <f t="shared" si="0"/>
        <v>0.38291804262984086</v>
      </c>
      <c r="F43">
        <v>491</v>
      </c>
      <c r="G43">
        <v>6.39</v>
      </c>
      <c r="H43">
        <f t="shared" si="1"/>
        <v>0.18383371824480368</v>
      </c>
      <c r="I43">
        <f t="shared" si="2"/>
        <v>2484</v>
      </c>
      <c r="J43" s="6">
        <f t="shared" si="3"/>
        <v>32.305891533359343</v>
      </c>
      <c r="K43">
        <f t="shared" si="4"/>
        <v>0.38705340386747628</v>
      </c>
    </row>
    <row r="44" spans="1:11" x14ac:dyDescent="0.25">
      <c r="A44" t="s">
        <v>42</v>
      </c>
      <c r="B44">
        <v>11854</v>
      </c>
      <c r="C44">
        <v>1414</v>
      </c>
      <c r="D44">
        <v>11.93</v>
      </c>
      <c r="E44">
        <f t="shared" si="0"/>
        <v>0.1729210447313119</v>
      </c>
      <c r="F44">
        <v>507</v>
      </c>
      <c r="G44">
        <v>4.28</v>
      </c>
      <c r="H44">
        <f t="shared" si="1"/>
        <v>8.6374133949191703E-2</v>
      </c>
      <c r="I44">
        <f t="shared" si="2"/>
        <v>1921</v>
      </c>
      <c r="J44" s="6">
        <f t="shared" si="3"/>
        <v>16.20550025307913</v>
      </c>
      <c r="K44">
        <f t="shared" si="4"/>
        <v>0.15970843481571123</v>
      </c>
    </row>
    <row r="45" spans="1:11" x14ac:dyDescent="0.25">
      <c r="A45" t="s">
        <v>43</v>
      </c>
      <c r="B45">
        <v>1417</v>
      </c>
      <c r="C45">
        <v>406</v>
      </c>
      <c r="D45">
        <v>28.65</v>
      </c>
      <c r="E45">
        <f t="shared" si="0"/>
        <v>0.42389672770939651</v>
      </c>
      <c r="F45">
        <v>81</v>
      </c>
      <c r="G45">
        <v>5.72</v>
      </c>
      <c r="H45">
        <f t="shared" si="1"/>
        <v>0.15288683602771361</v>
      </c>
      <c r="I45">
        <f t="shared" si="2"/>
        <v>487</v>
      </c>
      <c r="J45" s="6">
        <f t="shared" si="3"/>
        <v>34.368383909668317</v>
      </c>
      <c r="K45">
        <f t="shared" si="4"/>
        <v>0.41617674983458769</v>
      </c>
    </row>
    <row r="46" spans="1:11" x14ac:dyDescent="0.25">
      <c r="A46" t="s">
        <v>44</v>
      </c>
      <c r="B46">
        <v>7762</v>
      </c>
      <c r="C46">
        <v>395</v>
      </c>
      <c r="D46">
        <v>5.09</v>
      </c>
      <c r="E46">
        <f t="shared" si="0"/>
        <v>7.0249174422095453E-2</v>
      </c>
      <c r="F46">
        <v>720</v>
      </c>
      <c r="G46">
        <v>9.2799999999999994</v>
      </c>
      <c r="H46">
        <f t="shared" si="1"/>
        <v>0.31732101616628172</v>
      </c>
      <c r="I46">
        <f t="shared" si="2"/>
        <v>1115</v>
      </c>
      <c r="J46" s="6">
        <f t="shared" si="3"/>
        <v>14.364854418964185</v>
      </c>
      <c r="K46">
        <f t="shared" si="4"/>
        <v>0.13371766459730947</v>
      </c>
    </row>
    <row r="47" spans="1:11" x14ac:dyDescent="0.25">
      <c r="A47" t="s">
        <v>45</v>
      </c>
      <c r="B47">
        <v>14034</v>
      </c>
      <c r="C47">
        <v>1272</v>
      </c>
      <c r="D47">
        <v>9.06</v>
      </c>
      <c r="E47">
        <f t="shared" si="0"/>
        <v>0.12984088862203541</v>
      </c>
      <c r="F47">
        <v>898</v>
      </c>
      <c r="G47">
        <v>6.4</v>
      </c>
      <c r="H47">
        <f t="shared" si="1"/>
        <v>0.18429561200923789</v>
      </c>
      <c r="I47">
        <f t="shared" si="2"/>
        <v>2170</v>
      </c>
      <c r="J47" s="6">
        <f t="shared" si="3"/>
        <v>15.462448339746329</v>
      </c>
      <c r="K47">
        <f t="shared" si="4"/>
        <v>0.14921619824209423</v>
      </c>
    </row>
    <row r="48" spans="1:11" x14ac:dyDescent="0.25">
      <c r="A48" t="s">
        <v>46</v>
      </c>
      <c r="B48">
        <v>16628</v>
      </c>
      <c r="C48">
        <v>635</v>
      </c>
      <c r="D48">
        <v>3.82</v>
      </c>
      <c r="E48">
        <f t="shared" si="0"/>
        <v>5.1185830081056732E-2</v>
      </c>
      <c r="F48">
        <v>955</v>
      </c>
      <c r="G48">
        <v>5.74</v>
      </c>
      <c r="H48">
        <f t="shared" si="1"/>
        <v>0.15381062355658201</v>
      </c>
      <c r="I48">
        <f t="shared" si="2"/>
        <v>1590</v>
      </c>
      <c r="J48" s="6">
        <f t="shared" si="3"/>
        <v>9.5621842675006015</v>
      </c>
      <c r="K48">
        <f t="shared" si="4"/>
        <v>6.590174149687901E-2</v>
      </c>
    </row>
    <row r="49" spans="1:11" x14ac:dyDescent="0.25">
      <c r="A49" t="s">
        <v>47</v>
      </c>
      <c r="B49">
        <v>106820</v>
      </c>
      <c r="C49">
        <v>7144</v>
      </c>
      <c r="D49">
        <v>6.69</v>
      </c>
      <c r="E49">
        <f t="shared" si="0"/>
        <v>9.4265986190333231E-2</v>
      </c>
      <c r="F49">
        <v>5850</v>
      </c>
      <c r="G49">
        <v>5.48</v>
      </c>
      <c r="H49">
        <f t="shared" si="1"/>
        <v>0.14180138568129333</v>
      </c>
      <c r="I49">
        <f t="shared" si="2"/>
        <v>12994</v>
      </c>
      <c r="J49" s="6">
        <f t="shared" si="3"/>
        <v>12.164388691256319</v>
      </c>
      <c r="K49">
        <f t="shared" si="4"/>
        <v>0.10264607111511008</v>
      </c>
    </row>
    <row r="50" spans="1:11" x14ac:dyDescent="0.25">
      <c r="A50" t="s">
        <v>48</v>
      </c>
      <c r="B50">
        <v>4819</v>
      </c>
      <c r="C50">
        <v>439</v>
      </c>
      <c r="D50">
        <v>9.11</v>
      </c>
      <c r="E50">
        <f t="shared" si="0"/>
        <v>0.13059141398979285</v>
      </c>
      <c r="F50">
        <v>409</v>
      </c>
      <c r="G50">
        <v>8.49</v>
      </c>
      <c r="H50">
        <f t="shared" si="1"/>
        <v>0.28083140877598156</v>
      </c>
      <c r="I50">
        <f t="shared" si="2"/>
        <v>848</v>
      </c>
      <c r="J50" s="6">
        <f t="shared" si="3"/>
        <v>17.597011828180122</v>
      </c>
      <c r="K50">
        <f t="shared" si="4"/>
        <v>0.17935722163519541</v>
      </c>
    </row>
    <row r="51" spans="1:11" x14ac:dyDescent="0.25">
      <c r="A51" t="s">
        <v>49</v>
      </c>
      <c r="B51">
        <v>3879</v>
      </c>
      <c r="C51">
        <v>963</v>
      </c>
      <c r="D51">
        <v>24.83</v>
      </c>
      <c r="E51">
        <f t="shared" si="0"/>
        <v>0.36655658961272886</v>
      </c>
      <c r="F51">
        <v>340</v>
      </c>
      <c r="G51">
        <v>8.77</v>
      </c>
      <c r="H51">
        <f t="shared" si="1"/>
        <v>0.29376443418013853</v>
      </c>
      <c r="I51">
        <f t="shared" si="2"/>
        <v>1303</v>
      </c>
      <c r="J51" s="6">
        <f t="shared" si="3"/>
        <v>33.591131734983243</v>
      </c>
      <c r="K51">
        <f t="shared" si="4"/>
        <v>0.40520158975784953</v>
      </c>
    </row>
    <row r="52" spans="1:11" x14ac:dyDescent="0.25">
      <c r="A52" t="s">
        <v>50</v>
      </c>
      <c r="B52">
        <v>3760</v>
      </c>
      <c r="C52">
        <v>1162</v>
      </c>
      <c r="D52">
        <v>30.9</v>
      </c>
      <c r="E52">
        <f t="shared" si="0"/>
        <v>0.45767036925848087</v>
      </c>
      <c r="F52">
        <v>108</v>
      </c>
      <c r="G52">
        <v>2.87</v>
      </c>
      <c r="H52">
        <f t="shared" si="1"/>
        <v>2.1247113163972285E-2</v>
      </c>
      <c r="I52">
        <f t="shared" si="2"/>
        <v>1270</v>
      </c>
      <c r="J52" s="6">
        <f t="shared" si="3"/>
        <v>33.776595744680847</v>
      </c>
      <c r="K52">
        <f t="shared" si="4"/>
        <v>0.40782042732588808</v>
      </c>
    </row>
    <row r="53" spans="1:11" x14ac:dyDescent="0.25">
      <c r="A53" t="s">
        <v>51</v>
      </c>
      <c r="B53">
        <v>12983</v>
      </c>
      <c r="C53">
        <v>792</v>
      </c>
      <c r="D53">
        <v>6.1</v>
      </c>
      <c r="E53">
        <f t="shared" si="0"/>
        <v>8.5409786850795547E-2</v>
      </c>
      <c r="F53">
        <v>2610</v>
      </c>
      <c r="G53">
        <v>20.100000000000001</v>
      </c>
      <c r="H53">
        <f t="shared" si="1"/>
        <v>0.8170900692840648</v>
      </c>
      <c r="I53">
        <f t="shared" si="2"/>
        <v>3402</v>
      </c>
      <c r="J53" s="6">
        <f t="shared" si="3"/>
        <v>26.203496880536086</v>
      </c>
      <c r="K53">
        <f t="shared" si="4"/>
        <v>0.30088476986744506</v>
      </c>
    </row>
    <row r="54" spans="1:11" x14ac:dyDescent="0.25">
      <c r="A54" t="s">
        <v>52</v>
      </c>
      <c r="B54">
        <v>7807</v>
      </c>
      <c r="C54">
        <v>1083</v>
      </c>
      <c r="D54">
        <v>13.87</v>
      </c>
      <c r="E54">
        <f t="shared" si="0"/>
        <v>0.20204142900030017</v>
      </c>
      <c r="F54">
        <v>364</v>
      </c>
      <c r="G54">
        <v>4.66</v>
      </c>
      <c r="H54">
        <f t="shared" si="1"/>
        <v>0.10392609699769054</v>
      </c>
      <c r="I54">
        <f t="shared" si="2"/>
        <v>1447</v>
      </c>
      <c r="J54" s="6">
        <f t="shared" si="3"/>
        <v>18.534648392468299</v>
      </c>
      <c r="K54">
        <f t="shared" si="4"/>
        <v>0.19259708344842885</v>
      </c>
    </row>
    <row r="55" spans="1:11" x14ac:dyDescent="0.25">
      <c r="A55" t="s">
        <v>53</v>
      </c>
      <c r="B55">
        <v>8579</v>
      </c>
      <c r="C55">
        <v>2859</v>
      </c>
      <c r="D55">
        <v>33.33</v>
      </c>
      <c r="E55">
        <f t="shared" si="0"/>
        <v>0.49414590213149201</v>
      </c>
      <c r="F55">
        <v>596</v>
      </c>
      <c r="G55">
        <v>6.95</v>
      </c>
      <c r="H55">
        <f t="shared" si="1"/>
        <v>0.2096997690531178</v>
      </c>
      <c r="I55">
        <f t="shared" si="2"/>
        <v>3455</v>
      </c>
      <c r="J55" s="6">
        <f t="shared" si="3"/>
        <v>40.272759062827831</v>
      </c>
      <c r="K55">
        <f t="shared" si="4"/>
        <v>0.49954925694310431</v>
      </c>
    </row>
    <row r="56" spans="1:11" x14ac:dyDescent="0.25">
      <c r="A56" t="s">
        <v>54</v>
      </c>
      <c r="B56">
        <v>18227</v>
      </c>
      <c r="C56">
        <v>4611</v>
      </c>
      <c r="D56">
        <v>25.3</v>
      </c>
      <c r="E56">
        <f t="shared" si="0"/>
        <v>0.37361152806964876</v>
      </c>
      <c r="F56">
        <v>1756</v>
      </c>
      <c r="G56">
        <v>9.6300000000000008</v>
      </c>
      <c r="H56">
        <f t="shared" si="1"/>
        <v>0.33348729792147813</v>
      </c>
      <c r="I56">
        <f t="shared" si="2"/>
        <v>6367</v>
      </c>
      <c r="J56" s="6">
        <f t="shared" si="3"/>
        <v>34.931694738574642</v>
      </c>
      <c r="K56">
        <f t="shared" si="4"/>
        <v>0.42413095919104526</v>
      </c>
    </row>
    <row r="57" spans="1:11" x14ac:dyDescent="0.25">
      <c r="A57" t="s">
        <v>55</v>
      </c>
      <c r="B57">
        <v>3822</v>
      </c>
      <c r="C57">
        <v>1731</v>
      </c>
      <c r="D57">
        <v>45.29</v>
      </c>
      <c r="E57">
        <f t="shared" si="0"/>
        <v>0.67367157009906931</v>
      </c>
      <c r="F57">
        <v>252</v>
      </c>
      <c r="G57">
        <v>6.59</v>
      </c>
      <c r="H57">
        <f t="shared" si="1"/>
        <v>0.1930715935334873</v>
      </c>
      <c r="I57">
        <f t="shared" si="2"/>
        <v>1983</v>
      </c>
      <c r="J57" s="6">
        <f t="shared" si="3"/>
        <v>51.88383045525903</v>
      </c>
      <c r="K57">
        <f t="shared" si="4"/>
        <v>0.66350295349725186</v>
      </c>
    </row>
    <row r="58" spans="1:11" x14ac:dyDescent="0.25">
      <c r="A58" t="s">
        <v>56</v>
      </c>
      <c r="B58">
        <v>9988</v>
      </c>
      <c r="C58">
        <v>1492</v>
      </c>
      <c r="D58">
        <v>14.94</v>
      </c>
      <c r="E58">
        <f t="shared" si="0"/>
        <v>0.21810267187030918</v>
      </c>
      <c r="F58">
        <v>672</v>
      </c>
      <c r="G58">
        <v>6.73</v>
      </c>
      <c r="H58">
        <f t="shared" si="1"/>
        <v>0.19953810623556584</v>
      </c>
      <c r="I58">
        <f t="shared" si="2"/>
        <v>2164</v>
      </c>
      <c r="J58" s="6">
        <f t="shared" si="3"/>
        <v>21.665999199038847</v>
      </c>
      <c r="K58">
        <f t="shared" si="4"/>
        <v>0.23681320464803804</v>
      </c>
    </row>
    <row r="59" spans="1:11" x14ac:dyDescent="0.25">
      <c r="A59" t="s">
        <v>57</v>
      </c>
      <c r="B59">
        <v>2871</v>
      </c>
      <c r="C59">
        <v>870</v>
      </c>
      <c r="D59">
        <v>30.3</v>
      </c>
      <c r="E59">
        <f t="shared" si="0"/>
        <v>0.44866406484539173</v>
      </c>
      <c r="F59">
        <v>154</v>
      </c>
      <c r="G59">
        <v>5.36</v>
      </c>
      <c r="H59">
        <f t="shared" si="1"/>
        <v>0.13625866050808316</v>
      </c>
      <c r="I59">
        <f t="shared" si="2"/>
        <v>1024</v>
      </c>
      <c r="J59" s="6">
        <f t="shared" si="3"/>
        <v>35.667014977359806</v>
      </c>
      <c r="K59">
        <f t="shared" si="4"/>
        <v>0.43451402094523389</v>
      </c>
    </row>
    <row r="60" spans="1:11" x14ac:dyDescent="0.25">
      <c r="A60" t="s">
        <v>58</v>
      </c>
      <c r="B60">
        <v>122760</v>
      </c>
      <c r="C60">
        <v>11452</v>
      </c>
      <c r="D60">
        <v>9.33</v>
      </c>
      <c r="E60">
        <f t="shared" si="0"/>
        <v>0.13389372560792553</v>
      </c>
      <c r="F60">
        <v>2964</v>
      </c>
      <c r="G60">
        <v>2.41</v>
      </c>
      <c r="H60">
        <f t="shared" si="1"/>
        <v>0</v>
      </c>
      <c r="I60">
        <f t="shared" si="2"/>
        <v>14416</v>
      </c>
      <c r="J60" s="6">
        <f t="shared" si="3"/>
        <v>11.743238840013033</v>
      </c>
      <c r="K60">
        <f t="shared" si="4"/>
        <v>9.6699240492780406E-2</v>
      </c>
    </row>
    <row r="61" spans="1:11" x14ac:dyDescent="0.25">
      <c r="A61" t="s">
        <v>59</v>
      </c>
      <c r="B61">
        <v>5352</v>
      </c>
      <c r="C61">
        <v>841</v>
      </c>
      <c r="D61">
        <v>15.71</v>
      </c>
      <c r="E61">
        <f t="shared" si="0"/>
        <v>0.22966076253377363</v>
      </c>
      <c r="F61">
        <v>865</v>
      </c>
      <c r="G61">
        <v>16.16</v>
      </c>
      <c r="H61">
        <f t="shared" si="1"/>
        <v>0.63510392609699773</v>
      </c>
      <c r="I61">
        <f t="shared" si="2"/>
        <v>1706</v>
      </c>
      <c r="J61" s="6">
        <f t="shared" si="3"/>
        <v>31.875934230194318</v>
      </c>
      <c r="K61">
        <f t="shared" si="4"/>
        <v>0.3809822079517996</v>
      </c>
    </row>
    <row r="62" spans="1:11" x14ac:dyDescent="0.25">
      <c r="A62" t="s">
        <v>60</v>
      </c>
      <c r="B62">
        <v>9730</v>
      </c>
      <c r="C62">
        <v>1899</v>
      </c>
      <c r="D62">
        <v>19.52</v>
      </c>
      <c r="E62">
        <f t="shared" si="0"/>
        <v>0.2868507955568898</v>
      </c>
      <c r="F62">
        <v>1530</v>
      </c>
      <c r="G62">
        <v>15.72</v>
      </c>
      <c r="H62">
        <f t="shared" si="1"/>
        <v>0.61478060046189387</v>
      </c>
      <c r="I62">
        <f t="shared" si="2"/>
        <v>3429</v>
      </c>
      <c r="J62" s="6">
        <f t="shared" si="3"/>
        <v>35.2415210688592</v>
      </c>
      <c r="K62">
        <f t="shared" si="4"/>
        <v>0.42850585022591325</v>
      </c>
    </row>
    <row r="63" spans="1:11" x14ac:dyDescent="0.25">
      <c r="A63" t="s">
        <v>61</v>
      </c>
      <c r="B63">
        <v>22570</v>
      </c>
      <c r="C63">
        <v>1216</v>
      </c>
      <c r="D63">
        <v>5.39</v>
      </c>
      <c r="E63">
        <f t="shared" si="0"/>
        <v>7.4752326628640037E-2</v>
      </c>
      <c r="F63">
        <v>795</v>
      </c>
      <c r="G63">
        <v>3.52</v>
      </c>
      <c r="H63">
        <f t="shared" si="1"/>
        <v>5.1270207852193994E-2</v>
      </c>
      <c r="I63">
        <f t="shared" si="2"/>
        <v>2011</v>
      </c>
      <c r="J63" s="6">
        <f t="shared" si="3"/>
        <v>8.9100575985821884</v>
      </c>
      <c r="K63">
        <f t="shared" si="4"/>
        <v>5.6693411414573895E-2</v>
      </c>
    </row>
    <row r="64" spans="1:11" x14ac:dyDescent="0.25">
      <c r="A64" t="s">
        <v>62</v>
      </c>
      <c r="B64">
        <v>8301</v>
      </c>
      <c r="C64">
        <v>741</v>
      </c>
      <c r="D64">
        <v>8.93</v>
      </c>
      <c r="E64">
        <f t="shared" si="0"/>
        <v>0.12788952266586609</v>
      </c>
      <c r="F64">
        <v>728</v>
      </c>
      <c r="G64">
        <v>8.77</v>
      </c>
      <c r="H64">
        <f t="shared" si="1"/>
        <v>0.29376443418013853</v>
      </c>
      <c r="I64">
        <f t="shared" si="2"/>
        <v>1469</v>
      </c>
      <c r="J64" s="6">
        <f t="shared" si="3"/>
        <v>17.696663052644261</v>
      </c>
      <c r="K64">
        <f t="shared" si="4"/>
        <v>0.18076434299935246</v>
      </c>
    </row>
    <row r="65" spans="1:11" x14ac:dyDescent="0.25">
      <c r="A65" t="s">
        <v>63</v>
      </c>
      <c r="B65">
        <v>14321</v>
      </c>
      <c r="C65">
        <v>1635</v>
      </c>
      <c r="D65">
        <v>11.42</v>
      </c>
      <c r="E65">
        <f t="shared" si="0"/>
        <v>0.16526568598018612</v>
      </c>
      <c r="F65">
        <v>680</v>
      </c>
      <c r="G65">
        <v>4.75</v>
      </c>
      <c r="H65">
        <f t="shared" si="1"/>
        <v>0.10808314087759816</v>
      </c>
      <c r="I65">
        <f t="shared" si="2"/>
        <v>2315</v>
      </c>
      <c r="J65" s="6">
        <f t="shared" si="3"/>
        <v>16.165072271489421</v>
      </c>
      <c r="K65">
        <f t="shared" si="4"/>
        <v>0.15913757302338977</v>
      </c>
    </row>
    <row r="66" spans="1:11" x14ac:dyDescent="0.25">
      <c r="A66" t="s">
        <v>64</v>
      </c>
      <c r="B66">
        <v>101570</v>
      </c>
      <c r="C66">
        <v>19956</v>
      </c>
      <c r="D66">
        <v>19.649999999999999</v>
      </c>
      <c r="E66">
        <f t="shared" si="0"/>
        <v>0.2888021615130591</v>
      </c>
      <c r="F66">
        <v>5952</v>
      </c>
      <c r="G66">
        <v>5.86</v>
      </c>
      <c r="H66">
        <f t="shared" si="1"/>
        <v>0.15935334872979218</v>
      </c>
      <c r="I66">
        <f t="shared" si="2"/>
        <v>25908</v>
      </c>
      <c r="J66" s="6">
        <f t="shared" si="3"/>
        <v>25.507531751501428</v>
      </c>
      <c r="K66">
        <f t="shared" si="4"/>
        <v>0.2910574204591555</v>
      </c>
    </row>
    <row r="67" spans="1:11" x14ac:dyDescent="0.25">
      <c r="A67" t="s">
        <v>65</v>
      </c>
      <c r="B67">
        <v>27196</v>
      </c>
      <c r="C67">
        <v>7040</v>
      </c>
      <c r="D67">
        <v>25.89</v>
      </c>
      <c r="E67">
        <f t="shared" ref="E67:E130" si="5">(D67-MIN(D:D))/(MAX(D:D)-MIN(D:D))</f>
        <v>0.38246772740918639</v>
      </c>
      <c r="F67">
        <v>1051</v>
      </c>
      <c r="G67">
        <v>3.86</v>
      </c>
      <c r="H67">
        <f t="shared" ref="H67:H130" si="6">(G67-MIN(G:G))/(MAX(G:G)-MIN(G:G))</f>
        <v>6.6974595842956106E-2</v>
      </c>
      <c r="I67">
        <f t="shared" ref="I67:I130" si="7">C67+F67</f>
        <v>8091</v>
      </c>
      <c r="J67" s="6">
        <f t="shared" ref="J67:J130" si="8">(I67/B67)*100</f>
        <v>29.750698632151789</v>
      </c>
      <c r="K67">
        <f t="shared" ref="K67:K130" si="9">(J67-MIN(J:J))/(MAX(J:J)-MIN(J:J))</f>
        <v>0.35097289868386489</v>
      </c>
    </row>
    <row r="68" spans="1:11" x14ac:dyDescent="0.25">
      <c r="A68" t="s">
        <v>66</v>
      </c>
      <c r="B68">
        <v>4188</v>
      </c>
      <c r="C68">
        <v>996</v>
      </c>
      <c r="D68">
        <v>23.78</v>
      </c>
      <c r="E68">
        <f t="shared" si="5"/>
        <v>0.35079555688982289</v>
      </c>
      <c r="F68">
        <v>489</v>
      </c>
      <c r="G68">
        <v>11.68</v>
      </c>
      <c r="H68">
        <f t="shared" si="6"/>
        <v>0.428175519630485</v>
      </c>
      <c r="I68">
        <f t="shared" si="7"/>
        <v>1485</v>
      </c>
      <c r="J68" s="6">
        <f t="shared" si="8"/>
        <v>35.458452722063036</v>
      </c>
      <c r="K68">
        <f t="shared" si="9"/>
        <v>0.43156902546963416</v>
      </c>
    </row>
    <row r="69" spans="1:11" x14ac:dyDescent="0.25">
      <c r="A69" t="s">
        <v>67</v>
      </c>
      <c r="B69">
        <v>2441</v>
      </c>
      <c r="C69">
        <v>444</v>
      </c>
      <c r="D69">
        <v>18.190000000000001</v>
      </c>
      <c r="E69">
        <f t="shared" si="5"/>
        <v>0.26688682077454218</v>
      </c>
      <c r="F69">
        <v>149</v>
      </c>
      <c r="G69">
        <v>6.1</v>
      </c>
      <c r="H69">
        <f t="shared" si="6"/>
        <v>0.17043879907621245</v>
      </c>
      <c r="I69">
        <f t="shared" si="7"/>
        <v>593</v>
      </c>
      <c r="J69" s="6">
        <f t="shared" si="8"/>
        <v>24.293322408848834</v>
      </c>
      <c r="K69">
        <f t="shared" si="9"/>
        <v>0.2739122231392731</v>
      </c>
    </row>
    <row r="70" spans="1:11" x14ac:dyDescent="0.25">
      <c r="A70" t="s">
        <v>68</v>
      </c>
      <c r="B70">
        <v>10724</v>
      </c>
      <c r="C70">
        <v>1997</v>
      </c>
      <c r="D70">
        <v>18.62</v>
      </c>
      <c r="E70">
        <f t="shared" si="5"/>
        <v>0.2733413389372561</v>
      </c>
      <c r="F70">
        <v>855</v>
      </c>
      <c r="G70">
        <v>7.97</v>
      </c>
      <c r="H70">
        <f t="shared" si="6"/>
        <v>0.25681293302540414</v>
      </c>
      <c r="I70">
        <f t="shared" si="7"/>
        <v>2852</v>
      </c>
      <c r="J70" s="6">
        <f t="shared" si="8"/>
        <v>26.594554270794479</v>
      </c>
      <c r="K70">
        <f t="shared" si="9"/>
        <v>0.30640668102712282</v>
      </c>
    </row>
    <row r="71" spans="1:11" x14ac:dyDescent="0.25">
      <c r="A71" t="s">
        <v>69</v>
      </c>
      <c r="B71">
        <v>9484</v>
      </c>
      <c r="C71">
        <v>767</v>
      </c>
      <c r="D71">
        <v>8.09</v>
      </c>
      <c r="E71">
        <f t="shared" si="5"/>
        <v>0.11528069648754127</v>
      </c>
      <c r="F71">
        <v>840</v>
      </c>
      <c r="G71">
        <v>8.86</v>
      </c>
      <c r="H71">
        <f t="shared" si="6"/>
        <v>0.29792147806004615</v>
      </c>
      <c r="I71">
        <f t="shared" si="7"/>
        <v>1607</v>
      </c>
      <c r="J71" s="6">
        <f t="shared" si="8"/>
        <v>16.944327288064105</v>
      </c>
      <c r="K71">
        <f t="shared" si="9"/>
        <v>0.17014101415364291</v>
      </c>
    </row>
    <row r="72" spans="1:11" x14ac:dyDescent="0.25">
      <c r="A72" t="s">
        <v>70</v>
      </c>
      <c r="B72">
        <v>66827</v>
      </c>
      <c r="C72">
        <v>12863</v>
      </c>
      <c r="D72">
        <v>19.25</v>
      </c>
      <c r="E72">
        <f t="shared" si="5"/>
        <v>0.28279795857099965</v>
      </c>
      <c r="F72">
        <v>3544</v>
      </c>
      <c r="G72">
        <v>5.3</v>
      </c>
      <c r="H72">
        <f t="shared" si="6"/>
        <v>0.13348729792147807</v>
      </c>
      <c r="I72">
        <f t="shared" si="7"/>
        <v>16407</v>
      </c>
      <c r="J72" s="6">
        <f t="shared" si="8"/>
        <v>24.551453753722296</v>
      </c>
      <c r="K72">
        <f t="shared" si="9"/>
        <v>0.27755715707845163</v>
      </c>
    </row>
    <row r="73" spans="1:11" x14ac:dyDescent="0.25">
      <c r="A73" t="s">
        <v>71</v>
      </c>
      <c r="B73">
        <v>3670</v>
      </c>
      <c r="C73">
        <v>857</v>
      </c>
      <c r="D73">
        <v>23.35</v>
      </c>
      <c r="E73">
        <f t="shared" si="5"/>
        <v>0.34434103872710897</v>
      </c>
      <c r="F73">
        <v>182</v>
      </c>
      <c r="G73">
        <v>4.96</v>
      </c>
      <c r="H73">
        <f t="shared" si="6"/>
        <v>0.11778290993071594</v>
      </c>
      <c r="I73">
        <f t="shared" si="7"/>
        <v>1039</v>
      </c>
      <c r="J73" s="6">
        <f t="shared" si="8"/>
        <v>28.310626702997276</v>
      </c>
      <c r="K73">
        <f t="shared" si="9"/>
        <v>0.33063841721278786</v>
      </c>
    </row>
    <row r="74" spans="1:11" x14ac:dyDescent="0.25">
      <c r="A74" t="s">
        <v>72</v>
      </c>
      <c r="B74">
        <v>17532</v>
      </c>
      <c r="C74">
        <v>667</v>
      </c>
      <c r="D74">
        <v>3.8</v>
      </c>
      <c r="E74">
        <f t="shared" si="5"/>
        <v>5.0885619933953762E-2</v>
      </c>
      <c r="F74">
        <v>1551</v>
      </c>
      <c r="G74">
        <v>8.85</v>
      </c>
      <c r="H74">
        <f t="shared" si="6"/>
        <v>0.29745958429561198</v>
      </c>
      <c r="I74">
        <f t="shared" si="7"/>
        <v>2218</v>
      </c>
      <c r="J74" s="6">
        <f t="shared" si="8"/>
        <v>12.651152178872918</v>
      </c>
      <c r="K74">
        <f t="shared" si="9"/>
        <v>0.10951939662014085</v>
      </c>
    </row>
    <row r="75" spans="1:11" x14ac:dyDescent="0.25">
      <c r="A75" t="s">
        <v>73</v>
      </c>
      <c r="B75">
        <v>3999</v>
      </c>
      <c r="C75">
        <v>911</v>
      </c>
      <c r="D75">
        <v>22.78</v>
      </c>
      <c r="E75">
        <f t="shared" si="5"/>
        <v>0.33578504953467425</v>
      </c>
      <c r="F75">
        <v>284</v>
      </c>
      <c r="G75">
        <v>7.1</v>
      </c>
      <c r="H75">
        <f t="shared" si="6"/>
        <v>0.21662817551963048</v>
      </c>
      <c r="I75">
        <f t="shared" si="7"/>
        <v>1195</v>
      </c>
      <c r="J75" s="6">
        <f t="shared" si="8"/>
        <v>29.882470617654416</v>
      </c>
      <c r="K75">
        <f t="shared" si="9"/>
        <v>0.35283358004523513</v>
      </c>
    </row>
    <row r="76" spans="1:11" x14ac:dyDescent="0.25">
      <c r="A76" t="s">
        <v>74</v>
      </c>
      <c r="B76">
        <v>2951</v>
      </c>
      <c r="C76">
        <v>435</v>
      </c>
      <c r="D76">
        <v>14.74</v>
      </c>
      <c r="E76">
        <f t="shared" si="5"/>
        <v>0.21510057039927949</v>
      </c>
      <c r="F76">
        <v>172</v>
      </c>
      <c r="G76">
        <v>5.83</v>
      </c>
      <c r="H76">
        <f t="shared" si="6"/>
        <v>0.15796766743648963</v>
      </c>
      <c r="I76">
        <f t="shared" si="7"/>
        <v>607</v>
      </c>
      <c r="J76" s="6">
        <f t="shared" si="8"/>
        <v>20.569298542866825</v>
      </c>
      <c r="K76">
        <f t="shared" si="9"/>
        <v>0.22132728431255788</v>
      </c>
    </row>
    <row r="77" spans="1:11" x14ac:dyDescent="0.25">
      <c r="A77" t="s">
        <v>75</v>
      </c>
      <c r="B77">
        <v>3917</v>
      </c>
      <c r="C77">
        <v>1300</v>
      </c>
      <c r="D77">
        <v>33.19</v>
      </c>
      <c r="E77">
        <f t="shared" si="5"/>
        <v>0.49204443110177121</v>
      </c>
      <c r="F77">
        <v>307</v>
      </c>
      <c r="G77">
        <v>7.84</v>
      </c>
      <c r="H77">
        <f t="shared" si="6"/>
        <v>0.25080831408775983</v>
      </c>
      <c r="I77">
        <f t="shared" si="7"/>
        <v>1607</v>
      </c>
      <c r="J77" s="6">
        <f t="shared" si="8"/>
        <v>41.026295634414097</v>
      </c>
      <c r="K77">
        <f t="shared" si="9"/>
        <v>0.51018954173894504</v>
      </c>
    </row>
    <row r="78" spans="1:11" x14ac:dyDescent="0.25">
      <c r="A78" t="s">
        <v>76</v>
      </c>
      <c r="B78">
        <v>2753</v>
      </c>
      <c r="C78">
        <v>1024</v>
      </c>
      <c r="D78">
        <v>37.200000000000003</v>
      </c>
      <c r="E78">
        <f t="shared" si="5"/>
        <v>0.55223656559591716</v>
      </c>
      <c r="F78">
        <v>195</v>
      </c>
      <c r="G78">
        <v>7.08</v>
      </c>
      <c r="H78">
        <f t="shared" si="6"/>
        <v>0.21570438799076214</v>
      </c>
      <c r="I78">
        <f t="shared" si="7"/>
        <v>1219</v>
      </c>
      <c r="J78" s="6">
        <f t="shared" si="8"/>
        <v>44.278968398111154</v>
      </c>
      <c r="K78">
        <f t="shared" si="9"/>
        <v>0.55611878506758017</v>
      </c>
    </row>
    <row r="79" spans="1:11" x14ac:dyDescent="0.25">
      <c r="A79" t="s">
        <v>77</v>
      </c>
      <c r="B79">
        <v>1889</v>
      </c>
      <c r="C79">
        <v>409</v>
      </c>
      <c r="D79">
        <v>21.65</v>
      </c>
      <c r="E79">
        <f t="shared" si="5"/>
        <v>0.31882317622335632</v>
      </c>
      <c r="F79">
        <v>86</v>
      </c>
      <c r="G79">
        <v>4.55</v>
      </c>
      <c r="H79">
        <f t="shared" si="6"/>
        <v>9.8845265588914544E-2</v>
      </c>
      <c r="I79">
        <f t="shared" si="7"/>
        <v>495</v>
      </c>
      <c r="J79" s="6">
        <f t="shared" si="8"/>
        <v>26.204340921122288</v>
      </c>
      <c r="K79">
        <f t="shared" si="9"/>
        <v>0.30089668811077269</v>
      </c>
    </row>
    <row r="80" spans="1:11" x14ac:dyDescent="0.25">
      <c r="A80" t="s">
        <v>78</v>
      </c>
      <c r="B80">
        <v>1991</v>
      </c>
      <c r="C80">
        <v>214</v>
      </c>
      <c r="D80">
        <v>10.75</v>
      </c>
      <c r="E80">
        <f t="shared" si="5"/>
        <v>0.15520864605223655</v>
      </c>
      <c r="F80">
        <v>98</v>
      </c>
      <c r="G80">
        <v>4.92</v>
      </c>
      <c r="H80">
        <f t="shared" si="6"/>
        <v>0.11593533487297922</v>
      </c>
      <c r="I80">
        <f t="shared" si="7"/>
        <v>312</v>
      </c>
      <c r="J80" s="6">
        <f t="shared" si="8"/>
        <v>15.670517327975892</v>
      </c>
      <c r="K80">
        <f t="shared" si="9"/>
        <v>0.15215422855863811</v>
      </c>
    </row>
    <row r="81" spans="1:11" x14ac:dyDescent="0.25">
      <c r="A81" t="s">
        <v>79</v>
      </c>
      <c r="B81">
        <v>6823</v>
      </c>
      <c r="C81">
        <v>889</v>
      </c>
      <c r="D81">
        <v>13.03</v>
      </c>
      <c r="E81">
        <f t="shared" si="5"/>
        <v>0.18943260282197535</v>
      </c>
      <c r="F81">
        <v>666</v>
      </c>
      <c r="G81">
        <v>9.76</v>
      </c>
      <c r="H81">
        <f t="shared" si="6"/>
        <v>0.33949191685912239</v>
      </c>
      <c r="I81">
        <f t="shared" si="7"/>
        <v>1555</v>
      </c>
      <c r="J81" s="6">
        <f t="shared" si="8"/>
        <v>22.790561336655429</v>
      </c>
      <c r="K81">
        <f t="shared" si="9"/>
        <v>0.25269254198354529</v>
      </c>
    </row>
    <row r="82" spans="1:11" x14ac:dyDescent="0.25">
      <c r="A82" t="s">
        <v>80</v>
      </c>
      <c r="B82">
        <v>4104</v>
      </c>
      <c r="C82">
        <v>577</v>
      </c>
      <c r="D82">
        <v>14.06</v>
      </c>
      <c r="E82">
        <f t="shared" si="5"/>
        <v>0.20489342539777844</v>
      </c>
      <c r="F82">
        <v>449</v>
      </c>
      <c r="G82">
        <v>10.94</v>
      </c>
      <c r="H82">
        <f t="shared" si="6"/>
        <v>0.39399538106235565</v>
      </c>
      <c r="I82">
        <f t="shared" si="7"/>
        <v>1026</v>
      </c>
      <c r="J82" s="6">
        <f t="shared" si="8"/>
        <v>25</v>
      </c>
      <c r="K82">
        <f t="shared" si="9"/>
        <v>0.28389083746565996</v>
      </c>
    </row>
    <row r="83" spans="1:11" x14ac:dyDescent="0.25">
      <c r="A83" t="s">
        <v>81</v>
      </c>
      <c r="B83">
        <v>11982</v>
      </c>
      <c r="C83">
        <v>1437</v>
      </c>
      <c r="D83">
        <v>11.99</v>
      </c>
      <c r="E83">
        <f t="shared" si="5"/>
        <v>0.17382167517262082</v>
      </c>
      <c r="F83">
        <v>781</v>
      </c>
      <c r="G83">
        <v>6.52</v>
      </c>
      <c r="H83">
        <f t="shared" si="6"/>
        <v>0.18983833718244802</v>
      </c>
      <c r="I83">
        <f t="shared" si="7"/>
        <v>2218</v>
      </c>
      <c r="J83" s="6">
        <f t="shared" si="8"/>
        <v>18.511099983308295</v>
      </c>
      <c r="K83">
        <f t="shared" si="9"/>
        <v>0.19226456902325109</v>
      </c>
    </row>
    <row r="84" spans="1:11" x14ac:dyDescent="0.25">
      <c r="A84" t="s">
        <v>82</v>
      </c>
      <c r="B84">
        <v>3214</v>
      </c>
      <c r="C84">
        <v>511</v>
      </c>
      <c r="D84">
        <v>15.9</v>
      </c>
      <c r="E84">
        <f t="shared" si="5"/>
        <v>0.23251275893125187</v>
      </c>
      <c r="F84">
        <v>388</v>
      </c>
      <c r="G84">
        <v>12.07</v>
      </c>
      <c r="H84">
        <f t="shared" si="6"/>
        <v>0.44618937644341805</v>
      </c>
      <c r="I84">
        <f t="shared" si="7"/>
        <v>899</v>
      </c>
      <c r="J84" s="6">
        <f t="shared" si="8"/>
        <v>27.971375233354074</v>
      </c>
      <c r="K84">
        <f t="shared" si="9"/>
        <v>0.32584802960517334</v>
      </c>
    </row>
    <row r="85" spans="1:11" x14ac:dyDescent="0.25">
      <c r="A85" t="s">
        <v>83</v>
      </c>
      <c r="B85">
        <v>7167</v>
      </c>
      <c r="C85">
        <v>1111</v>
      </c>
      <c r="D85">
        <v>15.5</v>
      </c>
      <c r="E85">
        <f t="shared" si="5"/>
        <v>0.22650855598919242</v>
      </c>
      <c r="F85">
        <v>557</v>
      </c>
      <c r="G85">
        <v>7.77</v>
      </c>
      <c r="H85">
        <f t="shared" si="6"/>
        <v>0.24757505773672053</v>
      </c>
      <c r="I85">
        <f t="shared" si="7"/>
        <v>1668</v>
      </c>
      <c r="J85" s="6">
        <f t="shared" si="8"/>
        <v>23.273336123901213</v>
      </c>
      <c r="K85">
        <f t="shared" si="9"/>
        <v>0.25950954519512531</v>
      </c>
    </row>
    <row r="86" spans="1:11" x14ac:dyDescent="0.25">
      <c r="A86" t="s">
        <v>84</v>
      </c>
      <c r="B86">
        <v>5842</v>
      </c>
      <c r="C86">
        <v>1712</v>
      </c>
      <c r="D86">
        <v>29.31</v>
      </c>
      <c r="E86">
        <f t="shared" si="5"/>
        <v>0.4338036625637946</v>
      </c>
      <c r="F86">
        <v>171</v>
      </c>
      <c r="G86">
        <v>2.93</v>
      </c>
      <c r="H86">
        <f t="shared" si="6"/>
        <v>2.4018475750577369E-2</v>
      </c>
      <c r="I86">
        <f t="shared" si="7"/>
        <v>1883</v>
      </c>
      <c r="J86" s="6">
        <f t="shared" si="8"/>
        <v>32.232112290311541</v>
      </c>
      <c r="K86">
        <f t="shared" si="9"/>
        <v>0.38601160684308289</v>
      </c>
    </row>
    <row r="87" spans="1:11" x14ac:dyDescent="0.25">
      <c r="A87" t="s">
        <v>85</v>
      </c>
      <c r="B87">
        <v>10274</v>
      </c>
      <c r="C87">
        <v>1102</v>
      </c>
      <c r="D87">
        <v>10.73</v>
      </c>
      <c r="E87">
        <f t="shared" si="5"/>
        <v>0.15490843590513359</v>
      </c>
      <c r="F87">
        <v>614</v>
      </c>
      <c r="G87">
        <v>5.98</v>
      </c>
      <c r="H87">
        <f t="shared" si="6"/>
        <v>0.16489607390300234</v>
      </c>
      <c r="I87">
        <f t="shared" si="7"/>
        <v>1716</v>
      </c>
      <c r="J87" s="6">
        <f t="shared" si="8"/>
        <v>16.702355460385441</v>
      </c>
      <c r="K87">
        <f t="shared" si="9"/>
        <v>0.16672426006876653</v>
      </c>
    </row>
    <row r="88" spans="1:11" x14ac:dyDescent="0.25">
      <c r="A88" t="s">
        <v>86</v>
      </c>
      <c r="B88">
        <v>14273</v>
      </c>
      <c r="C88">
        <v>2949</v>
      </c>
      <c r="D88">
        <v>20.66</v>
      </c>
      <c r="E88">
        <f t="shared" si="5"/>
        <v>0.30396277394175919</v>
      </c>
      <c r="F88">
        <v>833</v>
      </c>
      <c r="G88">
        <v>5.84</v>
      </c>
      <c r="H88">
        <f t="shared" si="6"/>
        <v>0.15842956120092377</v>
      </c>
      <c r="I88">
        <f t="shared" si="7"/>
        <v>3782</v>
      </c>
      <c r="J88" s="6">
        <f t="shared" si="8"/>
        <v>26.497582848735373</v>
      </c>
      <c r="K88">
        <f t="shared" si="9"/>
        <v>0.30503739971195787</v>
      </c>
    </row>
    <row r="89" spans="1:11" x14ac:dyDescent="0.25">
      <c r="A89" t="s">
        <v>87</v>
      </c>
      <c r="B89">
        <v>121559</v>
      </c>
      <c r="C89">
        <v>11661</v>
      </c>
      <c r="D89">
        <v>9.59</v>
      </c>
      <c r="E89">
        <f t="shared" si="5"/>
        <v>0.13779645752026418</v>
      </c>
      <c r="F89">
        <v>13112</v>
      </c>
      <c r="G89">
        <v>10.79</v>
      </c>
      <c r="H89">
        <f t="shared" si="6"/>
        <v>0.38706697459584294</v>
      </c>
      <c r="I89">
        <f t="shared" si="7"/>
        <v>24773</v>
      </c>
      <c r="J89" s="6">
        <f t="shared" si="8"/>
        <v>20.379404239916418</v>
      </c>
      <c r="K89">
        <f t="shared" si="9"/>
        <v>0.21864588895540013</v>
      </c>
    </row>
    <row r="90" spans="1:11" x14ac:dyDescent="0.25">
      <c r="A90" t="s">
        <v>88</v>
      </c>
      <c r="B90">
        <v>4662</v>
      </c>
      <c r="C90">
        <v>311</v>
      </c>
      <c r="D90">
        <v>6.67</v>
      </c>
      <c r="E90">
        <f t="shared" si="5"/>
        <v>9.3965776043230254E-2</v>
      </c>
      <c r="F90">
        <v>793</v>
      </c>
      <c r="G90">
        <v>17.010000000000002</v>
      </c>
      <c r="H90">
        <f t="shared" si="6"/>
        <v>0.67436489607390315</v>
      </c>
      <c r="I90">
        <f t="shared" si="7"/>
        <v>1104</v>
      </c>
      <c r="J90" s="6">
        <f t="shared" si="8"/>
        <v>23.680823680823682</v>
      </c>
      <c r="K90">
        <f t="shared" si="9"/>
        <v>0.26526345790474892</v>
      </c>
    </row>
    <row r="91" spans="1:11" x14ac:dyDescent="0.25">
      <c r="A91" t="s">
        <v>89</v>
      </c>
      <c r="B91">
        <v>3563</v>
      </c>
      <c r="C91">
        <v>328</v>
      </c>
      <c r="D91">
        <v>9.2100000000000009</v>
      </c>
      <c r="E91">
        <f t="shared" si="5"/>
        <v>0.13209246472530772</v>
      </c>
      <c r="F91">
        <v>267</v>
      </c>
      <c r="G91">
        <v>7.49</v>
      </c>
      <c r="H91">
        <f t="shared" si="6"/>
        <v>0.23464203233256353</v>
      </c>
      <c r="I91">
        <f t="shared" si="7"/>
        <v>595</v>
      </c>
      <c r="J91" s="6">
        <f t="shared" si="8"/>
        <v>16.699410609037326</v>
      </c>
      <c r="K91">
        <f t="shared" si="9"/>
        <v>0.1666826774061502</v>
      </c>
    </row>
    <row r="92" spans="1:11" x14ac:dyDescent="0.25">
      <c r="A92" t="s">
        <v>90</v>
      </c>
      <c r="B92">
        <v>4405</v>
      </c>
      <c r="C92">
        <v>1834</v>
      </c>
      <c r="D92">
        <v>41.63</v>
      </c>
      <c r="E92">
        <f t="shared" si="5"/>
        <v>0.61873311317922552</v>
      </c>
      <c r="F92">
        <v>439</v>
      </c>
      <c r="G92">
        <v>9.9700000000000006</v>
      </c>
      <c r="H92">
        <f t="shared" si="6"/>
        <v>0.34919168591224026</v>
      </c>
      <c r="I92">
        <f t="shared" si="7"/>
        <v>2273</v>
      </c>
      <c r="J92" s="6">
        <f t="shared" si="8"/>
        <v>51.600454029511923</v>
      </c>
      <c r="K92">
        <f t="shared" si="9"/>
        <v>0.65950154734382604</v>
      </c>
    </row>
    <row r="93" spans="1:11" x14ac:dyDescent="0.25">
      <c r="A93" t="s">
        <v>91</v>
      </c>
      <c r="B93">
        <v>14758</v>
      </c>
      <c r="C93">
        <v>1323</v>
      </c>
      <c r="D93">
        <v>8.9600000000000009</v>
      </c>
      <c r="E93">
        <f t="shared" si="5"/>
        <v>0.12833983788652056</v>
      </c>
      <c r="F93">
        <v>2587</v>
      </c>
      <c r="G93">
        <v>17.53</v>
      </c>
      <c r="H93">
        <f t="shared" si="6"/>
        <v>0.69838337182448051</v>
      </c>
      <c r="I93">
        <f t="shared" si="7"/>
        <v>3910</v>
      </c>
      <c r="J93" s="6">
        <f t="shared" si="8"/>
        <v>26.49410489226182</v>
      </c>
      <c r="K93">
        <f t="shared" si="9"/>
        <v>0.30498828935848388</v>
      </c>
    </row>
    <row r="94" spans="1:11" x14ac:dyDescent="0.25">
      <c r="A94" t="s">
        <v>92</v>
      </c>
      <c r="B94">
        <v>4962</v>
      </c>
      <c r="C94">
        <v>644</v>
      </c>
      <c r="D94">
        <v>12.98</v>
      </c>
      <c r="E94">
        <f t="shared" si="5"/>
        <v>0.18868207745421794</v>
      </c>
      <c r="F94">
        <v>208</v>
      </c>
      <c r="G94">
        <v>4.1900000000000004</v>
      </c>
      <c r="H94">
        <f t="shared" si="6"/>
        <v>8.2217090069284085E-2</v>
      </c>
      <c r="I94">
        <f t="shared" si="7"/>
        <v>852</v>
      </c>
      <c r="J94" s="6">
        <f t="shared" si="8"/>
        <v>17.170495767835551</v>
      </c>
      <c r="K94">
        <f t="shared" si="9"/>
        <v>0.17333461765923602</v>
      </c>
    </row>
    <row r="95" spans="1:11" x14ac:dyDescent="0.25">
      <c r="A95" t="s">
        <v>93</v>
      </c>
      <c r="B95">
        <v>78009</v>
      </c>
      <c r="C95">
        <v>3739</v>
      </c>
      <c r="D95">
        <v>4.79</v>
      </c>
      <c r="E95">
        <f t="shared" si="5"/>
        <v>6.5746022215550884E-2</v>
      </c>
      <c r="F95">
        <v>4424</v>
      </c>
      <c r="G95">
        <v>5.67</v>
      </c>
      <c r="H95">
        <f t="shared" si="6"/>
        <v>0.15057736720554271</v>
      </c>
      <c r="I95">
        <f t="shared" si="7"/>
        <v>8163</v>
      </c>
      <c r="J95" s="6">
        <f t="shared" si="8"/>
        <v>10.464177210321886</v>
      </c>
      <c r="K95">
        <f t="shared" si="9"/>
        <v>7.8638298894821101E-2</v>
      </c>
    </row>
    <row r="96" spans="1:11" x14ac:dyDescent="0.25">
      <c r="A96" t="s">
        <v>94</v>
      </c>
      <c r="B96">
        <v>1503256</v>
      </c>
      <c r="C96">
        <v>96885</v>
      </c>
      <c r="D96">
        <v>6.45</v>
      </c>
      <c r="E96">
        <f t="shared" si="5"/>
        <v>9.0663464425097567E-2</v>
      </c>
      <c r="F96">
        <v>63140</v>
      </c>
      <c r="G96">
        <v>4.2</v>
      </c>
      <c r="H96">
        <f t="shared" si="6"/>
        <v>8.2678983833718259E-2</v>
      </c>
      <c r="I96">
        <f t="shared" si="7"/>
        <v>160025</v>
      </c>
      <c r="J96" s="6">
        <f t="shared" si="8"/>
        <v>10.645226095887859</v>
      </c>
      <c r="K96">
        <f t="shared" si="9"/>
        <v>8.1194792868744967E-2</v>
      </c>
    </row>
    <row r="97" spans="1:11" x14ac:dyDescent="0.25">
      <c r="A97" t="s">
        <v>95</v>
      </c>
      <c r="B97">
        <v>81495</v>
      </c>
      <c r="C97">
        <v>8909</v>
      </c>
      <c r="D97">
        <v>10.93</v>
      </c>
      <c r="E97">
        <f t="shared" si="5"/>
        <v>0.15791053737616328</v>
      </c>
      <c r="F97">
        <v>5082</v>
      </c>
      <c r="G97">
        <v>6.24</v>
      </c>
      <c r="H97">
        <f t="shared" si="6"/>
        <v>0.176905311778291</v>
      </c>
      <c r="I97">
        <f t="shared" si="7"/>
        <v>13991</v>
      </c>
      <c r="J97" s="6">
        <f t="shared" si="8"/>
        <v>17.167924412540646</v>
      </c>
      <c r="K97">
        <f t="shared" si="9"/>
        <v>0.17329830893358059</v>
      </c>
    </row>
    <row r="98" spans="1:11" x14ac:dyDescent="0.25">
      <c r="A98" t="s">
        <v>96</v>
      </c>
      <c r="B98">
        <v>24172</v>
      </c>
      <c r="C98">
        <v>3391</v>
      </c>
      <c r="D98">
        <v>14.03</v>
      </c>
      <c r="E98">
        <f t="shared" si="5"/>
        <v>0.20444311017712397</v>
      </c>
      <c r="F98">
        <v>1237</v>
      </c>
      <c r="G98">
        <v>5.12</v>
      </c>
      <c r="H98">
        <f t="shared" si="6"/>
        <v>0.12517321016166283</v>
      </c>
      <c r="I98">
        <f t="shared" si="7"/>
        <v>4628</v>
      </c>
      <c r="J98" s="6">
        <f t="shared" si="8"/>
        <v>19.146119477080919</v>
      </c>
      <c r="K98">
        <f t="shared" si="9"/>
        <v>0.20123133788282704</v>
      </c>
    </row>
    <row r="99" spans="1:11" x14ac:dyDescent="0.25">
      <c r="A99" t="s">
        <v>97</v>
      </c>
      <c r="B99">
        <v>36984</v>
      </c>
      <c r="C99">
        <v>1328</v>
      </c>
      <c r="D99">
        <v>3.59</v>
      </c>
      <c r="E99">
        <f t="shared" si="5"/>
        <v>4.773341338937255E-2</v>
      </c>
      <c r="F99">
        <v>2234</v>
      </c>
      <c r="G99">
        <v>6.04</v>
      </c>
      <c r="H99">
        <f t="shared" si="6"/>
        <v>0.16766743648960739</v>
      </c>
      <c r="I99">
        <f t="shared" si="7"/>
        <v>3562</v>
      </c>
      <c r="J99" s="6">
        <f t="shared" si="8"/>
        <v>9.6311918667531895</v>
      </c>
      <c r="K99">
        <f t="shared" si="9"/>
        <v>6.687616070466755E-2</v>
      </c>
    </row>
    <row r="100" spans="1:11" x14ac:dyDescent="0.25">
      <c r="A100" t="s">
        <v>98</v>
      </c>
      <c r="B100">
        <v>4313</v>
      </c>
      <c r="C100">
        <v>833</v>
      </c>
      <c r="D100">
        <v>19.309999999999999</v>
      </c>
      <c r="E100">
        <f t="shared" si="5"/>
        <v>0.2836985890123086</v>
      </c>
      <c r="F100">
        <v>252</v>
      </c>
      <c r="G100">
        <v>5.84</v>
      </c>
      <c r="H100">
        <f t="shared" si="6"/>
        <v>0.15842956120092377</v>
      </c>
      <c r="I100">
        <f t="shared" si="7"/>
        <v>1085</v>
      </c>
      <c r="J100" s="6">
        <f t="shared" si="8"/>
        <v>25.156503593786226</v>
      </c>
      <c r="K100">
        <f t="shared" si="9"/>
        <v>0.28610074057089679</v>
      </c>
    </row>
    <row r="101" spans="1:11" x14ac:dyDescent="0.25">
      <c r="A101" t="s">
        <v>99</v>
      </c>
      <c r="B101">
        <v>20985</v>
      </c>
      <c r="C101">
        <v>3664</v>
      </c>
      <c r="D101">
        <v>17.46</v>
      </c>
      <c r="E101">
        <f t="shared" si="5"/>
        <v>0.25592915040528369</v>
      </c>
      <c r="F101">
        <v>2714</v>
      </c>
      <c r="G101">
        <v>12.93</v>
      </c>
      <c r="H101">
        <f t="shared" si="6"/>
        <v>0.48591224018475754</v>
      </c>
      <c r="I101">
        <f t="shared" si="7"/>
        <v>6378</v>
      </c>
      <c r="J101" s="6">
        <f t="shared" si="8"/>
        <v>30.393137955682629</v>
      </c>
      <c r="K101">
        <f t="shared" si="9"/>
        <v>0.36004443897025812</v>
      </c>
    </row>
    <row r="102" spans="1:11" x14ac:dyDescent="0.25">
      <c r="A102" t="s">
        <v>100</v>
      </c>
      <c r="B102">
        <v>2170</v>
      </c>
      <c r="C102">
        <v>328</v>
      </c>
      <c r="D102">
        <v>15.12</v>
      </c>
      <c r="E102">
        <f t="shared" si="5"/>
        <v>0.22080456319423594</v>
      </c>
      <c r="F102">
        <v>298</v>
      </c>
      <c r="G102">
        <v>13.73</v>
      </c>
      <c r="H102">
        <f t="shared" si="6"/>
        <v>0.52286374133949198</v>
      </c>
      <c r="I102">
        <f t="shared" si="7"/>
        <v>626</v>
      </c>
      <c r="J102" s="6">
        <f t="shared" si="8"/>
        <v>28.847926267281103</v>
      </c>
      <c r="K102">
        <f t="shared" si="9"/>
        <v>0.33822533548621181</v>
      </c>
    </row>
    <row r="103" spans="1:11" x14ac:dyDescent="0.25">
      <c r="A103" t="s">
        <v>101</v>
      </c>
      <c r="B103">
        <v>4091</v>
      </c>
      <c r="C103">
        <v>1074</v>
      </c>
      <c r="D103">
        <v>26.25</v>
      </c>
      <c r="E103">
        <f t="shared" si="5"/>
        <v>0.3878715100570399</v>
      </c>
      <c r="F103">
        <v>196</v>
      </c>
      <c r="G103">
        <v>4.79</v>
      </c>
      <c r="H103">
        <f t="shared" si="6"/>
        <v>0.10993071593533488</v>
      </c>
      <c r="I103">
        <f t="shared" si="7"/>
        <v>1270</v>
      </c>
      <c r="J103" s="6">
        <f t="shared" si="8"/>
        <v>31.043754583231486</v>
      </c>
      <c r="K103">
        <f t="shared" si="9"/>
        <v>0.36923144657024265</v>
      </c>
    </row>
    <row r="104" spans="1:11" x14ac:dyDescent="0.25">
      <c r="A104" t="s">
        <v>102</v>
      </c>
      <c r="B104">
        <v>2154</v>
      </c>
      <c r="C104">
        <v>173</v>
      </c>
      <c r="D104">
        <v>8.0299999999999994</v>
      </c>
      <c r="E104">
        <f t="shared" si="5"/>
        <v>0.11438006604623234</v>
      </c>
      <c r="F104">
        <v>231</v>
      </c>
      <c r="G104">
        <v>10.72</v>
      </c>
      <c r="H104">
        <f t="shared" si="6"/>
        <v>0.38383371824480372</v>
      </c>
      <c r="I104">
        <f t="shared" si="7"/>
        <v>404</v>
      </c>
      <c r="J104" s="6">
        <f t="shared" si="8"/>
        <v>18.755803156917363</v>
      </c>
      <c r="K104">
        <f t="shared" si="9"/>
        <v>0.19571989097552939</v>
      </c>
    </row>
    <row r="105" spans="1:11" x14ac:dyDescent="0.25">
      <c r="A105" t="s">
        <v>103</v>
      </c>
      <c r="B105">
        <v>3342</v>
      </c>
      <c r="C105">
        <v>896</v>
      </c>
      <c r="D105">
        <v>26.81</v>
      </c>
      <c r="E105">
        <f t="shared" si="5"/>
        <v>0.39627739417592311</v>
      </c>
      <c r="F105">
        <v>603</v>
      </c>
      <c r="G105">
        <v>18.04</v>
      </c>
      <c r="H105">
        <f t="shared" si="6"/>
        <v>0.72193995381062359</v>
      </c>
      <c r="I105">
        <f t="shared" si="7"/>
        <v>1499</v>
      </c>
      <c r="J105" s="6">
        <f t="shared" si="8"/>
        <v>44.853381208856973</v>
      </c>
      <c r="K105">
        <f t="shared" si="9"/>
        <v>0.56422975954072196</v>
      </c>
    </row>
    <row r="106" spans="1:11" x14ac:dyDescent="0.25">
      <c r="A106" t="s">
        <v>104</v>
      </c>
      <c r="B106">
        <v>30587</v>
      </c>
      <c r="C106">
        <v>2833</v>
      </c>
      <c r="D106">
        <v>9.26</v>
      </c>
      <c r="E106">
        <f t="shared" si="5"/>
        <v>0.13284299009306513</v>
      </c>
      <c r="F106">
        <v>2810</v>
      </c>
      <c r="G106">
        <v>9.19</v>
      </c>
      <c r="H106">
        <f t="shared" si="6"/>
        <v>0.3131639722863741</v>
      </c>
      <c r="I106">
        <f t="shared" si="7"/>
        <v>5643</v>
      </c>
      <c r="J106" s="6">
        <f t="shared" si="8"/>
        <v>18.449014287115443</v>
      </c>
      <c r="K106">
        <f t="shared" si="9"/>
        <v>0.19138789028707595</v>
      </c>
    </row>
    <row r="107" spans="1:11" x14ac:dyDescent="0.25">
      <c r="A107" t="s">
        <v>105</v>
      </c>
      <c r="B107">
        <v>3477</v>
      </c>
      <c r="C107">
        <v>516</v>
      </c>
      <c r="D107">
        <v>14.84</v>
      </c>
      <c r="E107">
        <f t="shared" si="5"/>
        <v>0.21660162113479434</v>
      </c>
      <c r="F107">
        <v>211</v>
      </c>
      <c r="G107">
        <v>6.07</v>
      </c>
      <c r="H107">
        <f t="shared" si="6"/>
        <v>0.16905311778290996</v>
      </c>
      <c r="I107">
        <f t="shared" si="7"/>
        <v>727</v>
      </c>
      <c r="J107" s="6">
        <f t="shared" si="8"/>
        <v>20.908829450675871</v>
      </c>
      <c r="K107">
        <f t="shared" si="9"/>
        <v>0.22612161771627512</v>
      </c>
    </row>
    <row r="108" spans="1:11" x14ac:dyDescent="0.25">
      <c r="A108" t="s">
        <v>106</v>
      </c>
      <c r="B108">
        <v>10289</v>
      </c>
      <c r="C108">
        <v>3947</v>
      </c>
      <c r="D108">
        <v>38.36</v>
      </c>
      <c r="E108">
        <f t="shared" si="5"/>
        <v>0.56964875412788951</v>
      </c>
      <c r="F108">
        <v>1072</v>
      </c>
      <c r="G108">
        <v>10.42</v>
      </c>
      <c r="H108">
        <f t="shared" si="6"/>
        <v>0.36997690531177829</v>
      </c>
      <c r="I108">
        <f t="shared" si="7"/>
        <v>5019</v>
      </c>
      <c r="J108" s="6">
        <f t="shared" si="8"/>
        <v>48.780250753231606</v>
      </c>
      <c r="K108">
        <f t="shared" si="9"/>
        <v>0.61967897313403475</v>
      </c>
    </row>
    <row r="109" spans="1:11" x14ac:dyDescent="0.25">
      <c r="A109" t="s">
        <v>107</v>
      </c>
      <c r="B109">
        <v>6076</v>
      </c>
      <c r="C109">
        <v>491</v>
      </c>
      <c r="D109">
        <v>8.08</v>
      </c>
      <c r="E109">
        <f t="shared" si="5"/>
        <v>0.11513059141398978</v>
      </c>
      <c r="F109">
        <v>407</v>
      </c>
      <c r="G109">
        <v>6.7</v>
      </c>
      <c r="H109">
        <f t="shared" si="6"/>
        <v>0.19815242494226329</v>
      </c>
      <c r="I109">
        <f t="shared" si="7"/>
        <v>898</v>
      </c>
      <c r="J109" s="6">
        <f t="shared" si="8"/>
        <v>14.77946017116524</v>
      </c>
      <c r="K109">
        <f t="shared" si="9"/>
        <v>0.13957208951543432</v>
      </c>
    </row>
    <row r="110" spans="1:11" x14ac:dyDescent="0.25">
      <c r="A110" t="s">
        <v>108</v>
      </c>
      <c r="B110">
        <v>17985</v>
      </c>
      <c r="C110">
        <v>702</v>
      </c>
      <c r="D110">
        <v>3.9</v>
      </c>
      <c r="E110">
        <f t="shared" si="5"/>
        <v>5.2386670669468623E-2</v>
      </c>
      <c r="F110">
        <v>1705</v>
      </c>
      <c r="G110">
        <v>9.48</v>
      </c>
      <c r="H110">
        <f t="shared" si="6"/>
        <v>0.32655889145496542</v>
      </c>
      <c r="I110">
        <f t="shared" si="7"/>
        <v>2407</v>
      </c>
      <c r="J110" s="6">
        <f t="shared" si="8"/>
        <v>13.383375034751182</v>
      </c>
      <c r="K110">
        <f t="shared" si="9"/>
        <v>0.11985872189557861</v>
      </c>
    </row>
    <row r="111" spans="1:11" x14ac:dyDescent="0.25">
      <c r="A111" t="s">
        <v>109</v>
      </c>
      <c r="B111">
        <v>53884</v>
      </c>
      <c r="C111">
        <v>4468</v>
      </c>
      <c r="D111">
        <v>8.2899999999999991</v>
      </c>
      <c r="E111">
        <f t="shared" si="5"/>
        <v>0.11828279795857098</v>
      </c>
      <c r="F111">
        <v>2636</v>
      </c>
      <c r="G111">
        <v>4.8899999999999997</v>
      </c>
      <c r="H111">
        <f t="shared" si="6"/>
        <v>0.11454965357967666</v>
      </c>
      <c r="I111">
        <f t="shared" si="7"/>
        <v>7104</v>
      </c>
      <c r="J111" s="6">
        <f t="shared" si="8"/>
        <v>13.183876475391582</v>
      </c>
      <c r="K111">
        <f t="shared" si="9"/>
        <v>0.11704170999730065</v>
      </c>
    </row>
    <row r="112" spans="1:11" x14ac:dyDescent="0.25">
      <c r="A112" t="s">
        <v>110</v>
      </c>
      <c r="B112">
        <v>26223</v>
      </c>
      <c r="C112">
        <v>3082</v>
      </c>
      <c r="D112">
        <v>11.75</v>
      </c>
      <c r="E112">
        <f t="shared" si="5"/>
        <v>0.17021915340738517</v>
      </c>
      <c r="F112">
        <v>1556</v>
      </c>
      <c r="G112">
        <v>5.93</v>
      </c>
      <c r="H112">
        <f t="shared" si="6"/>
        <v>0.16258660508083139</v>
      </c>
      <c r="I112">
        <f t="shared" si="7"/>
        <v>4638</v>
      </c>
      <c r="J112" s="6">
        <f t="shared" si="8"/>
        <v>17.686763528200437</v>
      </c>
      <c r="K112">
        <f t="shared" si="9"/>
        <v>0.18062455713706321</v>
      </c>
    </row>
    <row r="113" spans="1:11" x14ac:dyDescent="0.25">
      <c r="A113" t="s">
        <v>111</v>
      </c>
      <c r="B113">
        <v>2968</v>
      </c>
      <c r="C113">
        <v>577</v>
      </c>
      <c r="D113">
        <v>19.440000000000001</v>
      </c>
      <c r="E113">
        <f t="shared" si="5"/>
        <v>0.28564995496847795</v>
      </c>
      <c r="F113">
        <v>164</v>
      </c>
      <c r="G113">
        <v>5.53</v>
      </c>
      <c r="H113">
        <f t="shared" si="6"/>
        <v>0.14411085450346423</v>
      </c>
      <c r="I113">
        <f t="shared" si="7"/>
        <v>741</v>
      </c>
      <c r="J113" s="6">
        <f t="shared" si="8"/>
        <v>24.966307277628033</v>
      </c>
      <c r="K113">
        <f t="shared" si="9"/>
        <v>0.28341508064760629</v>
      </c>
    </row>
    <row r="114" spans="1:11" x14ac:dyDescent="0.25">
      <c r="A114" t="s">
        <v>112</v>
      </c>
      <c r="B114">
        <v>37283</v>
      </c>
      <c r="C114">
        <v>2601</v>
      </c>
      <c r="D114">
        <v>6.98</v>
      </c>
      <c r="E114">
        <f t="shared" si="5"/>
        <v>9.8619033323326333E-2</v>
      </c>
      <c r="F114">
        <v>1727</v>
      </c>
      <c r="G114">
        <v>4.63</v>
      </c>
      <c r="H114">
        <f t="shared" si="6"/>
        <v>0.10254041570438799</v>
      </c>
      <c r="I114">
        <f t="shared" si="7"/>
        <v>4328</v>
      </c>
      <c r="J114" s="6">
        <f t="shared" si="8"/>
        <v>11.608507899042458</v>
      </c>
      <c r="K114">
        <f t="shared" si="9"/>
        <v>9.4796777312100636E-2</v>
      </c>
    </row>
    <row r="115" spans="1:11" x14ac:dyDescent="0.25">
      <c r="A115" t="s">
        <v>113</v>
      </c>
      <c r="B115">
        <v>2515</v>
      </c>
      <c r="C115">
        <v>475</v>
      </c>
      <c r="D115">
        <v>18.89</v>
      </c>
      <c r="E115">
        <f t="shared" si="5"/>
        <v>0.27739417592314619</v>
      </c>
      <c r="F115">
        <v>112</v>
      </c>
      <c r="G115">
        <v>4.45</v>
      </c>
      <c r="H115">
        <f t="shared" si="6"/>
        <v>9.4226327944572752E-2</v>
      </c>
      <c r="I115">
        <f t="shared" si="7"/>
        <v>587</v>
      </c>
      <c r="J115" s="6">
        <f t="shared" si="8"/>
        <v>23.339960238568587</v>
      </c>
      <c r="K115">
        <f t="shared" si="9"/>
        <v>0.26045030849854306</v>
      </c>
    </row>
    <row r="116" spans="1:11" x14ac:dyDescent="0.25">
      <c r="A116" t="s">
        <v>114</v>
      </c>
      <c r="B116">
        <v>47603</v>
      </c>
      <c r="C116">
        <v>4220</v>
      </c>
      <c r="D116">
        <v>8.86</v>
      </c>
      <c r="E116">
        <f t="shared" si="5"/>
        <v>0.12683878715100569</v>
      </c>
      <c r="F116">
        <v>3662</v>
      </c>
      <c r="G116">
        <v>7.69</v>
      </c>
      <c r="H116">
        <f t="shared" si="6"/>
        <v>0.24387990762124714</v>
      </c>
      <c r="I116">
        <f t="shared" si="7"/>
        <v>7882</v>
      </c>
      <c r="J116" s="6">
        <f t="shared" si="8"/>
        <v>16.557779971850515</v>
      </c>
      <c r="K116">
        <f t="shared" si="9"/>
        <v>0.1646827873247548</v>
      </c>
    </row>
    <row r="117" spans="1:11" x14ac:dyDescent="0.25">
      <c r="A117" t="s">
        <v>115</v>
      </c>
      <c r="B117">
        <v>5120</v>
      </c>
      <c r="C117">
        <v>388</v>
      </c>
      <c r="D117">
        <v>7.58</v>
      </c>
      <c r="E117">
        <f t="shared" si="5"/>
        <v>0.10762533773641549</v>
      </c>
      <c r="F117">
        <v>596</v>
      </c>
      <c r="G117">
        <v>11.64</v>
      </c>
      <c r="H117">
        <f t="shared" si="6"/>
        <v>0.42632794457274831</v>
      </c>
      <c r="I117">
        <f t="shared" si="7"/>
        <v>984</v>
      </c>
      <c r="J117" s="6">
        <f t="shared" si="8"/>
        <v>19.21875</v>
      </c>
      <c r="K117">
        <f t="shared" si="9"/>
        <v>0.20225691444788085</v>
      </c>
    </row>
    <row r="118" spans="1:11" x14ac:dyDescent="0.25">
      <c r="A118" t="s">
        <v>116</v>
      </c>
      <c r="B118">
        <v>4837</v>
      </c>
      <c r="C118">
        <v>543</v>
      </c>
      <c r="D118">
        <v>11.23</v>
      </c>
      <c r="E118">
        <f t="shared" si="5"/>
        <v>0.16241368958270788</v>
      </c>
      <c r="F118">
        <v>614</v>
      </c>
      <c r="G118">
        <v>12.69</v>
      </c>
      <c r="H118">
        <f t="shared" si="6"/>
        <v>0.4748267898383372</v>
      </c>
      <c r="I118">
        <f t="shared" si="7"/>
        <v>1157</v>
      </c>
      <c r="J118" s="6">
        <f t="shared" si="8"/>
        <v>23.919784990696712</v>
      </c>
      <c r="K118">
        <f t="shared" si="9"/>
        <v>0.26863770208626725</v>
      </c>
    </row>
    <row r="119" spans="1:11" x14ac:dyDescent="0.25">
      <c r="A119" t="s">
        <v>117</v>
      </c>
      <c r="B119">
        <v>4276</v>
      </c>
      <c r="C119">
        <v>318</v>
      </c>
      <c r="D119">
        <v>7.44</v>
      </c>
      <c r="E119">
        <f t="shared" si="5"/>
        <v>0.10552386670669468</v>
      </c>
      <c r="F119">
        <v>270</v>
      </c>
      <c r="G119">
        <v>6.31</v>
      </c>
      <c r="H119">
        <f t="shared" si="6"/>
        <v>0.18013856812933024</v>
      </c>
      <c r="I119">
        <f t="shared" si="7"/>
        <v>588</v>
      </c>
      <c r="J119" s="6">
        <f t="shared" si="8"/>
        <v>13.751169317118803</v>
      </c>
      <c r="K119">
        <f t="shared" si="9"/>
        <v>0.12505214721591204</v>
      </c>
    </row>
    <row r="120" spans="1:11" x14ac:dyDescent="0.25">
      <c r="A120" t="s">
        <v>118</v>
      </c>
      <c r="B120">
        <v>21891</v>
      </c>
      <c r="C120">
        <v>1234</v>
      </c>
      <c r="D120">
        <v>5.64</v>
      </c>
      <c r="E120">
        <f t="shared" si="5"/>
        <v>7.8504953467427183E-2</v>
      </c>
      <c r="F120">
        <v>1314</v>
      </c>
      <c r="G120">
        <v>6</v>
      </c>
      <c r="H120">
        <f t="shared" si="6"/>
        <v>0.16581986143187066</v>
      </c>
      <c r="I120">
        <f t="shared" si="7"/>
        <v>2548</v>
      </c>
      <c r="J120" s="6">
        <f t="shared" si="8"/>
        <v>11.639486546982779</v>
      </c>
      <c r="K120">
        <f t="shared" si="9"/>
        <v>9.5234210144300432E-2</v>
      </c>
    </row>
    <row r="121" spans="1:11" x14ac:dyDescent="0.25">
      <c r="A121" t="s">
        <v>119</v>
      </c>
      <c r="B121">
        <v>8133</v>
      </c>
      <c r="C121">
        <v>1509</v>
      </c>
      <c r="D121">
        <v>18.55</v>
      </c>
      <c r="E121">
        <f t="shared" si="5"/>
        <v>0.27229060342239569</v>
      </c>
      <c r="F121">
        <v>694</v>
      </c>
      <c r="G121">
        <v>8.5299999999999994</v>
      </c>
      <c r="H121">
        <f t="shared" si="6"/>
        <v>0.2826789838337182</v>
      </c>
      <c r="I121">
        <f t="shared" si="7"/>
        <v>2203</v>
      </c>
      <c r="J121" s="6">
        <f t="shared" si="8"/>
        <v>27.087175703922288</v>
      </c>
      <c r="K121">
        <f t="shared" si="9"/>
        <v>0.3133627234312506</v>
      </c>
    </row>
    <row r="122" spans="1:11" x14ac:dyDescent="0.25">
      <c r="A122" t="s">
        <v>120</v>
      </c>
      <c r="B122">
        <v>26553</v>
      </c>
      <c r="C122">
        <v>689</v>
      </c>
      <c r="D122">
        <v>2.59</v>
      </c>
      <c r="E122">
        <f t="shared" si="5"/>
        <v>3.2722906034223953E-2</v>
      </c>
      <c r="F122">
        <v>3470</v>
      </c>
      <c r="G122">
        <v>13.07</v>
      </c>
      <c r="H122">
        <f t="shared" si="6"/>
        <v>0.49237875288683608</v>
      </c>
      <c r="I122">
        <f t="shared" si="7"/>
        <v>4159</v>
      </c>
      <c r="J122" s="6">
        <f t="shared" si="8"/>
        <v>15.663013595450609</v>
      </c>
      <c r="K122">
        <f t="shared" si="9"/>
        <v>0.15204827238595661</v>
      </c>
    </row>
    <row r="123" spans="1:11" x14ac:dyDescent="0.25">
      <c r="A123" t="s">
        <v>121</v>
      </c>
      <c r="B123">
        <v>6124</v>
      </c>
      <c r="C123">
        <v>584</v>
      </c>
      <c r="D123">
        <v>9.5399999999999991</v>
      </c>
      <c r="E123">
        <f t="shared" si="5"/>
        <v>0.13704593215250674</v>
      </c>
      <c r="F123">
        <v>331</v>
      </c>
      <c r="G123">
        <v>5.4</v>
      </c>
      <c r="H123">
        <f t="shared" si="6"/>
        <v>0.13810623556581988</v>
      </c>
      <c r="I123">
        <f t="shared" si="7"/>
        <v>915</v>
      </c>
      <c r="J123" s="6">
        <f t="shared" si="8"/>
        <v>14.941214892227302</v>
      </c>
      <c r="K123">
        <f t="shared" si="9"/>
        <v>0.1418561409657163</v>
      </c>
    </row>
    <row r="124" spans="1:11" x14ac:dyDescent="0.25">
      <c r="A124" t="s">
        <v>122</v>
      </c>
      <c r="B124">
        <v>7636</v>
      </c>
      <c r="C124">
        <v>1386</v>
      </c>
      <c r="D124">
        <v>18.149999999999999</v>
      </c>
      <c r="E124">
        <f t="shared" si="5"/>
        <v>0.26628640048033619</v>
      </c>
      <c r="F124">
        <v>395</v>
      </c>
      <c r="G124">
        <v>5.17</v>
      </c>
      <c r="H124">
        <f t="shared" si="6"/>
        <v>0.12748267898383372</v>
      </c>
      <c r="I124">
        <f t="shared" si="7"/>
        <v>1781</v>
      </c>
      <c r="J124" s="6">
        <f t="shared" si="8"/>
        <v>23.323729701414354</v>
      </c>
      <c r="K124">
        <f t="shared" si="9"/>
        <v>0.2602211258095769</v>
      </c>
    </row>
    <row r="125" spans="1:11" x14ac:dyDescent="0.25">
      <c r="A125" t="s">
        <v>123</v>
      </c>
      <c r="B125">
        <v>113322</v>
      </c>
      <c r="C125">
        <v>7801</v>
      </c>
      <c r="D125">
        <v>6.88</v>
      </c>
      <c r="E125">
        <f t="shared" si="5"/>
        <v>9.7117982587811458E-2</v>
      </c>
      <c r="F125">
        <v>7924</v>
      </c>
      <c r="G125">
        <v>6.99</v>
      </c>
      <c r="H125">
        <f t="shared" si="6"/>
        <v>0.21154734411085452</v>
      </c>
      <c r="I125">
        <f t="shared" si="7"/>
        <v>15725</v>
      </c>
      <c r="J125" s="6">
        <f t="shared" si="8"/>
        <v>13.876387638763877</v>
      </c>
      <c r="K125">
        <f t="shared" si="9"/>
        <v>0.12682028781346266</v>
      </c>
    </row>
    <row r="126" spans="1:11" x14ac:dyDescent="0.25">
      <c r="A126" t="s">
        <v>124</v>
      </c>
      <c r="B126">
        <v>2731</v>
      </c>
      <c r="C126">
        <v>736</v>
      </c>
      <c r="D126">
        <v>26.95</v>
      </c>
      <c r="E126">
        <f t="shared" si="5"/>
        <v>0.39837886520564392</v>
      </c>
      <c r="F126">
        <v>113</v>
      </c>
      <c r="G126">
        <v>4.1399999999999997</v>
      </c>
      <c r="H126">
        <f t="shared" si="6"/>
        <v>7.9907621247113148E-2</v>
      </c>
      <c r="I126">
        <f t="shared" si="7"/>
        <v>849</v>
      </c>
      <c r="J126" s="6">
        <f t="shared" si="8"/>
        <v>31.08751373123398</v>
      </c>
      <c r="K126">
        <f t="shared" si="9"/>
        <v>0.36984934597251018</v>
      </c>
    </row>
    <row r="127" spans="1:11" x14ac:dyDescent="0.25">
      <c r="A127" t="s">
        <v>125</v>
      </c>
      <c r="B127">
        <v>6365</v>
      </c>
      <c r="C127">
        <v>311</v>
      </c>
      <c r="D127">
        <v>4.8899999999999997</v>
      </c>
      <c r="E127">
        <f t="shared" si="5"/>
        <v>6.7247072951065731E-2</v>
      </c>
      <c r="F127">
        <v>462</v>
      </c>
      <c r="G127">
        <v>7.26</v>
      </c>
      <c r="H127">
        <f t="shared" si="6"/>
        <v>0.22401847575057737</v>
      </c>
      <c r="I127">
        <f t="shared" si="7"/>
        <v>773</v>
      </c>
      <c r="J127" s="6">
        <f t="shared" si="8"/>
        <v>12.144540455616653</v>
      </c>
      <c r="K127">
        <f t="shared" si="9"/>
        <v>0.1023658048508511</v>
      </c>
    </row>
    <row r="128" spans="1:11" x14ac:dyDescent="0.25">
      <c r="A128" t="s">
        <v>126</v>
      </c>
      <c r="B128">
        <v>46633</v>
      </c>
      <c r="C128">
        <v>5948</v>
      </c>
      <c r="D128">
        <v>12.75</v>
      </c>
      <c r="E128">
        <f t="shared" si="5"/>
        <v>0.18522966076253375</v>
      </c>
      <c r="F128">
        <v>4545</v>
      </c>
      <c r="G128">
        <v>9.75</v>
      </c>
      <c r="H128">
        <f t="shared" si="6"/>
        <v>0.33903002309468822</v>
      </c>
      <c r="I128">
        <f t="shared" si="7"/>
        <v>10493</v>
      </c>
      <c r="J128" s="6">
        <f t="shared" si="8"/>
        <v>22.501233032401945</v>
      </c>
      <c r="K128">
        <f t="shared" si="9"/>
        <v>0.24860709255369992</v>
      </c>
    </row>
    <row r="129" spans="1:11" x14ac:dyDescent="0.25">
      <c r="A129" t="s">
        <v>127</v>
      </c>
      <c r="B129">
        <v>111634</v>
      </c>
      <c r="C129">
        <v>6866</v>
      </c>
      <c r="D129">
        <v>6.15</v>
      </c>
      <c r="E129">
        <f t="shared" si="5"/>
        <v>8.6160312218552984E-2</v>
      </c>
      <c r="F129">
        <v>4499</v>
      </c>
      <c r="G129">
        <v>4.03</v>
      </c>
      <c r="H129">
        <f t="shared" si="6"/>
        <v>7.4826789838337196E-2</v>
      </c>
      <c r="I129">
        <f t="shared" si="7"/>
        <v>11365</v>
      </c>
      <c r="J129" s="6">
        <f t="shared" si="8"/>
        <v>10.18059014278804</v>
      </c>
      <c r="K129">
        <f t="shared" si="9"/>
        <v>7.4633918381974279E-2</v>
      </c>
    </row>
    <row r="130" spans="1:11" x14ac:dyDescent="0.25">
      <c r="A130" t="s">
        <v>128</v>
      </c>
      <c r="B130">
        <v>2939</v>
      </c>
      <c r="C130">
        <v>422</v>
      </c>
      <c r="D130">
        <v>14.36</v>
      </c>
      <c r="E130">
        <f t="shared" si="5"/>
        <v>0.20939657760432301</v>
      </c>
      <c r="F130">
        <v>238</v>
      </c>
      <c r="G130">
        <v>8.1</v>
      </c>
      <c r="H130">
        <f t="shared" si="6"/>
        <v>0.26281755196304851</v>
      </c>
      <c r="I130">
        <f t="shared" si="7"/>
        <v>660</v>
      </c>
      <c r="J130" s="6">
        <f t="shared" si="8"/>
        <v>22.456617897243962</v>
      </c>
      <c r="K130">
        <f t="shared" si="9"/>
        <v>0.24797710621702279</v>
      </c>
    </row>
    <row r="131" spans="1:11" x14ac:dyDescent="0.25">
      <c r="A131" t="s">
        <v>129</v>
      </c>
      <c r="B131">
        <v>2112</v>
      </c>
      <c r="C131">
        <v>728</v>
      </c>
      <c r="D131">
        <v>34.47</v>
      </c>
      <c r="E131">
        <f t="shared" ref="E131:E194" si="10">(D131-MIN(D:D))/(MAX(D:D)-MIN(D:D))</f>
        <v>0.51125788051636145</v>
      </c>
      <c r="F131">
        <v>106</v>
      </c>
      <c r="G131">
        <v>5.0199999999999996</v>
      </c>
      <c r="H131">
        <f t="shared" ref="H131:H194" si="11">(G131-MIN(G:G))/(MAX(G:G)-MIN(G:G))</f>
        <v>0.120554272517321</v>
      </c>
      <c r="I131">
        <f t="shared" ref="I131:I194" si="12">C131+F131</f>
        <v>834</v>
      </c>
      <c r="J131" s="6">
        <f t="shared" ref="J131:J194" si="13">(I131/B131)*100</f>
        <v>39.488636363636367</v>
      </c>
      <c r="K131">
        <f t="shared" ref="K131:K194" si="14">(J131-MIN(J:J))/(MAX(J:J)-MIN(J:J))</f>
        <v>0.48847708188368122</v>
      </c>
    </row>
    <row r="132" spans="1:11" x14ac:dyDescent="0.25">
      <c r="A132" t="s">
        <v>130</v>
      </c>
      <c r="B132">
        <v>7247</v>
      </c>
      <c r="C132">
        <v>100</v>
      </c>
      <c r="D132">
        <v>1.38</v>
      </c>
      <c r="E132">
        <f t="shared" si="10"/>
        <v>1.4560192134494145E-2</v>
      </c>
      <c r="F132">
        <v>447</v>
      </c>
      <c r="G132">
        <v>6.17</v>
      </c>
      <c r="H132">
        <f t="shared" si="11"/>
        <v>0.17367205542725173</v>
      </c>
      <c r="I132">
        <f t="shared" si="12"/>
        <v>547</v>
      </c>
      <c r="J132" s="6">
        <f t="shared" si="13"/>
        <v>7.547950876224645</v>
      </c>
      <c r="K132">
        <f t="shared" si="14"/>
        <v>3.7459834711449987E-2</v>
      </c>
    </row>
    <row r="133" spans="1:11" x14ac:dyDescent="0.25">
      <c r="A133" t="s">
        <v>131</v>
      </c>
      <c r="B133">
        <v>19926</v>
      </c>
      <c r="C133">
        <v>1967</v>
      </c>
      <c r="D133">
        <v>9.8699999999999992</v>
      </c>
      <c r="E133">
        <f t="shared" si="10"/>
        <v>0.14199939957970578</v>
      </c>
      <c r="F133">
        <v>2132</v>
      </c>
      <c r="G133">
        <v>10.7</v>
      </c>
      <c r="H133">
        <f t="shared" si="11"/>
        <v>0.38290993071593532</v>
      </c>
      <c r="I133">
        <f t="shared" si="12"/>
        <v>4099</v>
      </c>
      <c r="J133" s="6">
        <f t="shared" si="13"/>
        <v>20.571113118538591</v>
      </c>
      <c r="K133">
        <f t="shared" si="14"/>
        <v>0.22135290696003013</v>
      </c>
    </row>
    <row r="134" spans="1:11" x14ac:dyDescent="0.25">
      <c r="A134" t="s">
        <v>132</v>
      </c>
      <c r="B134">
        <v>1435</v>
      </c>
      <c r="C134">
        <v>600</v>
      </c>
      <c r="D134">
        <v>41.81</v>
      </c>
      <c r="E134">
        <f t="shared" si="10"/>
        <v>0.62143500450315226</v>
      </c>
      <c r="F134">
        <v>81</v>
      </c>
      <c r="G134">
        <v>5.64</v>
      </c>
      <c r="H134">
        <f t="shared" si="11"/>
        <v>0.14919168591224016</v>
      </c>
      <c r="I134">
        <f t="shared" si="12"/>
        <v>681</v>
      </c>
      <c r="J134" s="6">
        <f t="shared" si="13"/>
        <v>47.456445993031359</v>
      </c>
      <c r="K134">
        <f t="shared" si="14"/>
        <v>0.60098623784586069</v>
      </c>
    </row>
    <row r="135" spans="1:11" x14ac:dyDescent="0.25">
      <c r="A135" t="s">
        <v>133</v>
      </c>
      <c r="B135">
        <v>9123</v>
      </c>
      <c r="C135">
        <v>328</v>
      </c>
      <c r="D135">
        <v>3.6</v>
      </c>
      <c r="E135">
        <f t="shared" si="10"/>
        <v>4.7883518462924046E-2</v>
      </c>
      <c r="F135">
        <v>2195</v>
      </c>
      <c r="G135">
        <v>24.06</v>
      </c>
      <c r="H135">
        <f t="shared" si="11"/>
        <v>1</v>
      </c>
      <c r="I135">
        <f t="shared" si="12"/>
        <v>2523</v>
      </c>
      <c r="J135" s="6">
        <f t="shared" si="13"/>
        <v>27.655376520881287</v>
      </c>
      <c r="K135">
        <f t="shared" si="14"/>
        <v>0.32138598167994598</v>
      </c>
    </row>
    <row r="136" spans="1:11" x14ac:dyDescent="0.25">
      <c r="A136" t="s">
        <v>134</v>
      </c>
      <c r="B136">
        <v>221262</v>
      </c>
      <c r="C136">
        <v>32955</v>
      </c>
      <c r="D136">
        <v>14.89</v>
      </c>
      <c r="E136">
        <f t="shared" si="10"/>
        <v>0.21735214650255177</v>
      </c>
      <c r="F136">
        <v>21447</v>
      </c>
      <c r="G136">
        <v>9.69</v>
      </c>
      <c r="H136">
        <f t="shared" si="11"/>
        <v>0.33625866050808312</v>
      </c>
      <c r="I136">
        <f t="shared" si="12"/>
        <v>54402</v>
      </c>
      <c r="J136" s="6">
        <f t="shared" si="13"/>
        <v>24.587141036418362</v>
      </c>
      <c r="K136">
        <f t="shared" si="14"/>
        <v>0.27806107801048613</v>
      </c>
    </row>
    <row r="137" spans="1:11" x14ac:dyDescent="0.25">
      <c r="A137" t="s">
        <v>135</v>
      </c>
      <c r="B137">
        <v>2631</v>
      </c>
      <c r="C137">
        <v>494</v>
      </c>
      <c r="D137">
        <v>18.78</v>
      </c>
      <c r="E137">
        <f t="shared" si="10"/>
        <v>0.27574302011407986</v>
      </c>
      <c r="F137">
        <v>188</v>
      </c>
      <c r="G137">
        <v>7.15</v>
      </c>
      <c r="H137">
        <f t="shared" si="11"/>
        <v>0.21893764434180141</v>
      </c>
      <c r="I137">
        <f t="shared" si="12"/>
        <v>682</v>
      </c>
      <c r="J137" s="6">
        <f t="shared" si="13"/>
        <v>25.921702774610416</v>
      </c>
      <c r="K137">
        <f t="shared" si="14"/>
        <v>0.29690570680149908</v>
      </c>
    </row>
    <row r="138" spans="1:11" x14ac:dyDescent="0.25">
      <c r="A138" t="s">
        <v>136</v>
      </c>
      <c r="B138">
        <v>8493</v>
      </c>
      <c r="C138">
        <v>3159</v>
      </c>
      <c r="D138">
        <v>37.200000000000003</v>
      </c>
      <c r="E138">
        <f t="shared" si="10"/>
        <v>0.55223656559591716</v>
      </c>
      <c r="F138">
        <v>361</v>
      </c>
      <c r="G138">
        <v>4.25</v>
      </c>
      <c r="H138">
        <f t="shared" si="11"/>
        <v>8.4988452655889141E-2</v>
      </c>
      <c r="I138">
        <f t="shared" si="12"/>
        <v>3520</v>
      </c>
      <c r="J138" s="6">
        <f t="shared" si="13"/>
        <v>41.445896620746495</v>
      </c>
      <c r="K138">
        <f t="shared" si="14"/>
        <v>0.51611450167260009</v>
      </c>
    </row>
    <row r="139" spans="1:11" x14ac:dyDescent="0.25">
      <c r="A139" t="s">
        <v>137</v>
      </c>
      <c r="B139">
        <v>10806</v>
      </c>
      <c r="C139">
        <v>1215</v>
      </c>
      <c r="D139">
        <v>11.24</v>
      </c>
      <c r="E139">
        <f t="shared" si="10"/>
        <v>0.16256379465625936</v>
      </c>
      <c r="F139">
        <v>1087</v>
      </c>
      <c r="G139">
        <v>10.06</v>
      </c>
      <c r="H139">
        <f t="shared" si="11"/>
        <v>0.35334872979214782</v>
      </c>
      <c r="I139">
        <f t="shared" si="12"/>
        <v>2302</v>
      </c>
      <c r="J139" s="6">
        <f t="shared" si="13"/>
        <v>21.302979826022579</v>
      </c>
      <c r="K139">
        <f t="shared" si="14"/>
        <v>0.23168720325547199</v>
      </c>
    </row>
    <row r="140" spans="1:11" x14ac:dyDescent="0.25">
      <c r="A140" t="s">
        <v>138</v>
      </c>
      <c r="B140">
        <v>2942</v>
      </c>
      <c r="C140">
        <v>414</v>
      </c>
      <c r="D140">
        <v>14.07</v>
      </c>
      <c r="E140">
        <f t="shared" si="10"/>
        <v>0.20504353047132992</v>
      </c>
      <c r="F140">
        <v>107</v>
      </c>
      <c r="G140">
        <v>3.64</v>
      </c>
      <c r="H140">
        <f t="shared" si="11"/>
        <v>5.6812933025404161E-2</v>
      </c>
      <c r="I140">
        <f t="shared" si="12"/>
        <v>521</v>
      </c>
      <c r="J140" s="6">
        <f t="shared" si="13"/>
        <v>17.70904146838885</v>
      </c>
      <c r="K140">
        <f t="shared" si="14"/>
        <v>0.18093913195294828</v>
      </c>
    </row>
    <row r="141" spans="1:11" x14ac:dyDescent="0.25">
      <c r="A141" t="s">
        <v>139</v>
      </c>
      <c r="B141">
        <v>4004</v>
      </c>
      <c r="C141">
        <v>1305</v>
      </c>
      <c r="D141">
        <v>32.590000000000003</v>
      </c>
      <c r="E141">
        <f t="shared" si="10"/>
        <v>0.48303812668868212</v>
      </c>
      <c r="F141">
        <v>390</v>
      </c>
      <c r="G141">
        <v>9.74</v>
      </c>
      <c r="H141">
        <f t="shared" si="11"/>
        <v>0.33856812933025404</v>
      </c>
      <c r="I141">
        <f t="shared" si="12"/>
        <v>1695</v>
      </c>
      <c r="J141" s="6">
        <f t="shared" si="13"/>
        <v>42.332667332667334</v>
      </c>
      <c r="K141">
        <f t="shared" si="14"/>
        <v>0.52863611413207967</v>
      </c>
    </row>
    <row r="142" spans="1:11" x14ac:dyDescent="0.25">
      <c r="A142" t="s">
        <v>140</v>
      </c>
      <c r="B142">
        <v>10145</v>
      </c>
      <c r="C142">
        <v>1353</v>
      </c>
      <c r="D142">
        <v>13.34</v>
      </c>
      <c r="E142">
        <f t="shared" si="10"/>
        <v>0.19408586010207143</v>
      </c>
      <c r="F142">
        <v>804</v>
      </c>
      <c r="G142">
        <v>7.93</v>
      </c>
      <c r="H142">
        <f t="shared" si="11"/>
        <v>0.25496535796766745</v>
      </c>
      <c r="I142">
        <f t="shared" si="12"/>
        <v>2157</v>
      </c>
      <c r="J142" s="6">
        <f t="shared" si="13"/>
        <v>21.26170527353376</v>
      </c>
      <c r="K142">
        <f t="shared" si="14"/>
        <v>0.23110438749063472</v>
      </c>
    </row>
    <row r="143" spans="1:11" x14ac:dyDescent="0.25">
      <c r="A143" t="s">
        <v>141</v>
      </c>
      <c r="B143">
        <v>2626</v>
      </c>
      <c r="C143">
        <v>647</v>
      </c>
      <c r="D143">
        <v>24.64</v>
      </c>
      <c r="E143">
        <f t="shared" si="10"/>
        <v>0.36370459321525067</v>
      </c>
      <c r="F143">
        <v>112</v>
      </c>
      <c r="G143">
        <v>4.2699999999999996</v>
      </c>
      <c r="H143">
        <f t="shared" si="11"/>
        <v>8.5912240184757488E-2</v>
      </c>
      <c r="I143">
        <f t="shared" si="12"/>
        <v>759</v>
      </c>
      <c r="J143" s="6">
        <f t="shared" si="13"/>
        <v>28.903274942878905</v>
      </c>
      <c r="K143">
        <f t="shared" si="14"/>
        <v>0.33900688437665716</v>
      </c>
    </row>
    <row r="144" spans="1:11" x14ac:dyDescent="0.25">
      <c r="A144" t="s">
        <v>142</v>
      </c>
      <c r="B144">
        <v>26616</v>
      </c>
      <c r="C144">
        <v>2346</v>
      </c>
      <c r="D144">
        <v>8.81</v>
      </c>
      <c r="E144">
        <f t="shared" si="10"/>
        <v>0.12608826178324828</v>
      </c>
      <c r="F144">
        <v>1577</v>
      </c>
      <c r="G144">
        <v>5.93</v>
      </c>
      <c r="H144">
        <f t="shared" si="11"/>
        <v>0.16258660508083139</v>
      </c>
      <c r="I144">
        <f t="shared" si="12"/>
        <v>3923</v>
      </c>
      <c r="J144" s="6">
        <f t="shared" si="13"/>
        <v>14.739254583709046</v>
      </c>
      <c r="K144">
        <f t="shared" si="14"/>
        <v>0.13900436803110419</v>
      </c>
    </row>
    <row r="145" spans="1:11" x14ac:dyDescent="0.25">
      <c r="A145" t="s">
        <v>143</v>
      </c>
      <c r="B145">
        <v>74999</v>
      </c>
      <c r="C145">
        <v>4255</v>
      </c>
      <c r="D145">
        <v>5.67</v>
      </c>
      <c r="E145">
        <f t="shared" si="10"/>
        <v>7.8955268688081642E-2</v>
      </c>
      <c r="F145">
        <v>3873</v>
      </c>
      <c r="G145">
        <v>5.16</v>
      </c>
      <c r="H145">
        <f t="shared" si="11"/>
        <v>0.12702078521939955</v>
      </c>
      <c r="I145">
        <f t="shared" si="12"/>
        <v>8128</v>
      </c>
      <c r="J145" s="6">
        <f t="shared" si="13"/>
        <v>10.837477833037774</v>
      </c>
      <c r="K145">
        <f t="shared" si="14"/>
        <v>8.3909476286782664E-2</v>
      </c>
    </row>
    <row r="146" spans="1:11" x14ac:dyDescent="0.25">
      <c r="A146" t="s">
        <v>144</v>
      </c>
      <c r="B146">
        <v>1687</v>
      </c>
      <c r="C146">
        <v>240</v>
      </c>
      <c r="D146">
        <v>14.23</v>
      </c>
      <c r="E146">
        <f t="shared" si="10"/>
        <v>0.20744521164815369</v>
      </c>
      <c r="F146">
        <v>99</v>
      </c>
      <c r="G146">
        <v>5.87</v>
      </c>
      <c r="H146">
        <f t="shared" si="11"/>
        <v>0.15981524249422635</v>
      </c>
      <c r="I146">
        <f t="shared" si="12"/>
        <v>339</v>
      </c>
      <c r="J146" s="6">
        <f t="shared" si="13"/>
        <v>20.09484291641968</v>
      </c>
      <c r="K146">
        <f t="shared" si="14"/>
        <v>0.21462775149790042</v>
      </c>
    </row>
    <row r="147" spans="1:11" x14ac:dyDescent="0.25">
      <c r="A147" t="s">
        <v>145</v>
      </c>
      <c r="B147">
        <v>6534</v>
      </c>
      <c r="C147">
        <v>3466</v>
      </c>
      <c r="D147">
        <v>53.05</v>
      </c>
      <c r="E147">
        <f t="shared" si="10"/>
        <v>0.79015310717502252</v>
      </c>
      <c r="F147">
        <v>321</v>
      </c>
      <c r="G147">
        <v>4.91</v>
      </c>
      <c r="H147">
        <f t="shared" si="11"/>
        <v>0.11547344110854504</v>
      </c>
      <c r="I147">
        <f t="shared" si="12"/>
        <v>3787</v>
      </c>
      <c r="J147" s="6">
        <f t="shared" si="13"/>
        <v>57.958371594735233</v>
      </c>
      <c r="K147">
        <f t="shared" si="14"/>
        <v>0.74927828301047683</v>
      </c>
    </row>
    <row r="148" spans="1:11" x14ac:dyDescent="0.25">
      <c r="A148" t="s">
        <v>146</v>
      </c>
      <c r="B148">
        <v>9024</v>
      </c>
      <c r="C148">
        <v>345</v>
      </c>
      <c r="D148">
        <v>3.82</v>
      </c>
      <c r="E148">
        <f t="shared" si="10"/>
        <v>5.1185830081056732E-2</v>
      </c>
      <c r="F148">
        <v>705</v>
      </c>
      <c r="G148">
        <v>7.81</v>
      </c>
      <c r="H148">
        <f t="shared" si="11"/>
        <v>0.24942263279445726</v>
      </c>
      <c r="I148">
        <f t="shared" si="12"/>
        <v>1050</v>
      </c>
      <c r="J148" s="6">
        <f t="shared" si="13"/>
        <v>11.63563829787234</v>
      </c>
      <c r="K148">
        <f t="shared" si="14"/>
        <v>9.5179871087585216E-2</v>
      </c>
    </row>
    <row r="149" spans="1:11" x14ac:dyDescent="0.25">
      <c r="A149" t="s">
        <v>147</v>
      </c>
      <c r="B149">
        <v>13094</v>
      </c>
      <c r="C149">
        <v>971</v>
      </c>
      <c r="D149">
        <v>7.42</v>
      </c>
      <c r="E149">
        <f t="shared" si="10"/>
        <v>0.10522365655959171</v>
      </c>
      <c r="F149">
        <v>528</v>
      </c>
      <c r="G149">
        <v>4.03</v>
      </c>
      <c r="H149">
        <f t="shared" si="11"/>
        <v>7.4826789838337196E-2</v>
      </c>
      <c r="I149">
        <f t="shared" si="12"/>
        <v>1499</v>
      </c>
      <c r="J149" s="6">
        <f t="shared" si="13"/>
        <v>11.447991446464028</v>
      </c>
      <c r="K149">
        <f t="shared" si="14"/>
        <v>9.2530210785333161E-2</v>
      </c>
    </row>
    <row r="150" spans="1:11" x14ac:dyDescent="0.25">
      <c r="A150" t="s">
        <v>148</v>
      </c>
      <c r="B150">
        <v>3743</v>
      </c>
      <c r="C150">
        <v>1443</v>
      </c>
      <c r="D150">
        <v>38.549999999999997</v>
      </c>
      <c r="E150">
        <f t="shared" si="10"/>
        <v>0.57250075052536775</v>
      </c>
      <c r="F150">
        <v>222</v>
      </c>
      <c r="G150">
        <v>5.93</v>
      </c>
      <c r="H150">
        <f t="shared" si="11"/>
        <v>0.16258660508083139</v>
      </c>
      <c r="I150">
        <f t="shared" si="12"/>
        <v>1665</v>
      </c>
      <c r="J150" s="6">
        <f t="shared" si="13"/>
        <v>44.483034998664174</v>
      </c>
      <c r="K150">
        <f t="shared" si="14"/>
        <v>0.55900029981958799</v>
      </c>
    </row>
    <row r="151" spans="1:11" x14ac:dyDescent="0.25">
      <c r="A151" t="s">
        <v>149</v>
      </c>
      <c r="B151">
        <v>54326</v>
      </c>
      <c r="C151">
        <v>822</v>
      </c>
      <c r="D151">
        <v>1.51</v>
      </c>
      <c r="E151">
        <f t="shared" si="10"/>
        <v>1.6511558090663465E-2</v>
      </c>
      <c r="F151">
        <v>1948</v>
      </c>
      <c r="G151">
        <v>3.59</v>
      </c>
      <c r="H151">
        <f t="shared" si="11"/>
        <v>5.4503464203233244E-2</v>
      </c>
      <c r="I151">
        <f t="shared" si="12"/>
        <v>2770</v>
      </c>
      <c r="J151" s="6">
        <f t="shared" si="13"/>
        <v>5.0988476972352101</v>
      </c>
      <c r="K151">
        <f t="shared" si="14"/>
        <v>2.8773654571846337E-3</v>
      </c>
    </row>
    <row r="152" spans="1:11" x14ac:dyDescent="0.25">
      <c r="A152" t="s">
        <v>150</v>
      </c>
      <c r="B152">
        <v>2505</v>
      </c>
      <c r="C152">
        <v>554</v>
      </c>
      <c r="D152">
        <v>22.12</v>
      </c>
      <c r="E152">
        <f t="shared" si="10"/>
        <v>0.32587811468027617</v>
      </c>
      <c r="F152">
        <v>176</v>
      </c>
      <c r="G152">
        <v>7.03</v>
      </c>
      <c r="H152">
        <f t="shared" si="11"/>
        <v>0.21339491916859124</v>
      </c>
      <c r="I152">
        <f t="shared" si="12"/>
        <v>730</v>
      </c>
      <c r="J152" s="6">
        <f t="shared" si="13"/>
        <v>29.141716566866265</v>
      </c>
      <c r="K152">
        <f t="shared" si="14"/>
        <v>0.34237379035318788</v>
      </c>
    </row>
    <row r="153" spans="1:11" x14ac:dyDescent="0.25">
      <c r="A153" t="s">
        <v>151</v>
      </c>
      <c r="B153">
        <v>4626</v>
      </c>
      <c r="C153">
        <v>277</v>
      </c>
      <c r="D153">
        <v>5.99</v>
      </c>
      <c r="E153">
        <f t="shared" si="10"/>
        <v>8.3758631041729203E-2</v>
      </c>
      <c r="F153">
        <v>380</v>
      </c>
      <c r="G153">
        <v>8.2100000000000009</v>
      </c>
      <c r="H153">
        <f t="shared" si="11"/>
        <v>0.26789838337182453</v>
      </c>
      <c r="I153">
        <f t="shared" si="12"/>
        <v>657</v>
      </c>
      <c r="J153" s="6">
        <f t="shared" si="13"/>
        <v>14.202334630350194</v>
      </c>
      <c r="K153">
        <f t="shared" si="14"/>
        <v>0.13142281003945774</v>
      </c>
    </row>
    <row r="154" spans="1:11" x14ac:dyDescent="0.25">
      <c r="A154" t="s">
        <v>152</v>
      </c>
      <c r="B154">
        <v>15199</v>
      </c>
      <c r="C154">
        <v>2991</v>
      </c>
      <c r="D154">
        <v>19.68</v>
      </c>
      <c r="E154">
        <f t="shared" si="10"/>
        <v>0.28925247673371357</v>
      </c>
      <c r="F154">
        <v>966</v>
      </c>
      <c r="G154">
        <v>6.36</v>
      </c>
      <c r="H154">
        <f t="shared" si="11"/>
        <v>0.18244803695150116</v>
      </c>
      <c r="I154">
        <f t="shared" si="12"/>
        <v>3957</v>
      </c>
      <c r="J154" s="6">
        <f t="shared" si="13"/>
        <v>26.034607539969734</v>
      </c>
      <c r="K154">
        <f t="shared" si="14"/>
        <v>0.298499974291001</v>
      </c>
    </row>
    <row r="155" spans="1:11" x14ac:dyDescent="0.25">
      <c r="A155" t="s">
        <v>153</v>
      </c>
      <c r="B155">
        <v>6202</v>
      </c>
      <c r="C155">
        <v>758</v>
      </c>
      <c r="D155">
        <v>12.22</v>
      </c>
      <c r="E155">
        <f t="shared" si="10"/>
        <v>0.17727409186430501</v>
      </c>
      <c r="F155">
        <v>342</v>
      </c>
      <c r="G155">
        <v>5.51</v>
      </c>
      <c r="H155">
        <f t="shared" si="11"/>
        <v>0.14318706697459582</v>
      </c>
      <c r="I155">
        <f t="shared" si="12"/>
        <v>1100</v>
      </c>
      <c r="J155" s="6">
        <f t="shared" si="13"/>
        <v>17.736214124475975</v>
      </c>
      <c r="K155">
        <f t="shared" si="14"/>
        <v>0.18132282242044317</v>
      </c>
    </row>
    <row r="156" spans="1:11" x14ac:dyDescent="0.25">
      <c r="A156" t="s">
        <v>154</v>
      </c>
      <c r="B156">
        <v>3540</v>
      </c>
      <c r="C156">
        <v>747</v>
      </c>
      <c r="D156">
        <v>21.1</v>
      </c>
      <c r="E156">
        <f t="shared" si="10"/>
        <v>0.31056739717802462</v>
      </c>
      <c r="F156">
        <v>413</v>
      </c>
      <c r="G156">
        <v>11.67</v>
      </c>
      <c r="H156">
        <f t="shared" si="11"/>
        <v>0.42771362586605083</v>
      </c>
      <c r="I156">
        <f t="shared" si="12"/>
        <v>1160</v>
      </c>
      <c r="J156" s="6">
        <f t="shared" si="13"/>
        <v>32.7683615819209</v>
      </c>
      <c r="K156">
        <f t="shared" si="14"/>
        <v>0.3935836947807394</v>
      </c>
    </row>
    <row r="157" spans="1:11" x14ac:dyDescent="0.25">
      <c r="A157" t="s">
        <v>155</v>
      </c>
      <c r="B157">
        <v>8349</v>
      </c>
      <c r="C157">
        <v>1078</v>
      </c>
      <c r="D157">
        <v>12.91</v>
      </c>
      <c r="E157">
        <f t="shared" si="10"/>
        <v>0.18763134193935754</v>
      </c>
      <c r="F157">
        <v>447</v>
      </c>
      <c r="G157">
        <v>5.35</v>
      </c>
      <c r="H157">
        <f t="shared" si="11"/>
        <v>0.13579676674364893</v>
      </c>
      <c r="I157">
        <f t="shared" si="12"/>
        <v>1525</v>
      </c>
      <c r="J157" s="6">
        <f t="shared" si="13"/>
        <v>18.265660558150675</v>
      </c>
      <c r="K157">
        <f t="shared" si="14"/>
        <v>0.18879885085869411</v>
      </c>
    </row>
    <row r="158" spans="1:11" x14ac:dyDescent="0.25">
      <c r="A158" t="s">
        <v>156</v>
      </c>
      <c r="B158">
        <v>34273</v>
      </c>
      <c r="C158">
        <v>1741</v>
      </c>
      <c r="D158">
        <v>5.08</v>
      </c>
      <c r="E158">
        <f t="shared" si="10"/>
        <v>7.0099069348543971E-2</v>
      </c>
      <c r="F158">
        <v>4113</v>
      </c>
      <c r="G158">
        <v>12</v>
      </c>
      <c r="H158">
        <f t="shared" si="11"/>
        <v>0.44295612009237878</v>
      </c>
      <c r="I158">
        <f t="shared" si="12"/>
        <v>5854</v>
      </c>
      <c r="J158" s="6">
        <f t="shared" si="13"/>
        <v>17.080500685670934</v>
      </c>
      <c r="K158">
        <f t="shared" si="14"/>
        <v>0.17206384548896056</v>
      </c>
    </row>
    <row r="159" spans="1:11" x14ac:dyDescent="0.25">
      <c r="A159" t="s">
        <v>157</v>
      </c>
      <c r="B159">
        <v>33890</v>
      </c>
      <c r="C159">
        <v>1045</v>
      </c>
      <c r="D159">
        <v>3.08</v>
      </c>
      <c r="E159">
        <f t="shared" si="10"/>
        <v>4.007805463824677E-2</v>
      </c>
      <c r="F159">
        <v>3058</v>
      </c>
      <c r="G159">
        <v>9.02</v>
      </c>
      <c r="H159">
        <f t="shared" si="11"/>
        <v>0.30531177829099304</v>
      </c>
      <c r="I159">
        <f t="shared" si="12"/>
        <v>4103</v>
      </c>
      <c r="J159" s="6">
        <f t="shared" si="13"/>
        <v>12.10681616996164</v>
      </c>
      <c r="K159">
        <f t="shared" si="14"/>
        <v>0.10183312049520794</v>
      </c>
    </row>
    <row r="160" spans="1:11" x14ac:dyDescent="0.25">
      <c r="A160" t="s">
        <v>158</v>
      </c>
      <c r="B160">
        <v>2380</v>
      </c>
      <c r="C160">
        <v>721</v>
      </c>
      <c r="D160">
        <v>30.29</v>
      </c>
      <c r="E160">
        <f t="shared" si="10"/>
        <v>0.44851395977184022</v>
      </c>
      <c r="F160">
        <v>106</v>
      </c>
      <c r="G160">
        <v>4.45</v>
      </c>
      <c r="H160">
        <f t="shared" si="11"/>
        <v>9.4226327944572752E-2</v>
      </c>
      <c r="I160">
        <f t="shared" si="12"/>
        <v>827</v>
      </c>
      <c r="J160" s="6">
        <f t="shared" si="13"/>
        <v>34.747899159663866</v>
      </c>
      <c r="K160">
        <f t="shared" si="14"/>
        <v>0.42153568063713209</v>
      </c>
    </row>
    <row r="161" spans="1:11" x14ac:dyDescent="0.25">
      <c r="A161" t="s">
        <v>159</v>
      </c>
      <c r="B161">
        <v>2132</v>
      </c>
      <c r="C161">
        <v>251</v>
      </c>
      <c r="D161">
        <v>11.77</v>
      </c>
      <c r="E161">
        <f t="shared" si="10"/>
        <v>0.17051936355448813</v>
      </c>
      <c r="F161">
        <v>90</v>
      </c>
      <c r="G161">
        <v>4.22</v>
      </c>
      <c r="H161">
        <f t="shared" si="11"/>
        <v>8.3602771362586592E-2</v>
      </c>
      <c r="I161">
        <f t="shared" si="12"/>
        <v>341</v>
      </c>
      <c r="J161" s="6">
        <f t="shared" si="13"/>
        <v>15.994371482176359</v>
      </c>
      <c r="K161">
        <f t="shared" si="14"/>
        <v>0.15672719895310105</v>
      </c>
    </row>
    <row r="162" spans="1:11" x14ac:dyDescent="0.25">
      <c r="A162" t="s">
        <v>160</v>
      </c>
      <c r="B162">
        <v>13153</v>
      </c>
      <c r="C162">
        <v>1187</v>
      </c>
      <c r="D162">
        <v>9.02</v>
      </c>
      <c r="E162">
        <f t="shared" si="10"/>
        <v>0.12924046832782946</v>
      </c>
      <c r="F162">
        <v>1577</v>
      </c>
      <c r="G162">
        <v>11.99</v>
      </c>
      <c r="H162">
        <f t="shared" si="11"/>
        <v>0.44249422632794461</v>
      </c>
      <c r="I162">
        <f t="shared" si="12"/>
        <v>2764</v>
      </c>
      <c r="J162" s="6">
        <f t="shared" si="13"/>
        <v>21.014217288831446</v>
      </c>
      <c r="K162">
        <f t="shared" si="14"/>
        <v>0.227609742718135</v>
      </c>
    </row>
    <row r="163" spans="1:11" x14ac:dyDescent="0.25">
      <c r="A163" t="s">
        <v>161</v>
      </c>
      <c r="B163">
        <v>8356</v>
      </c>
      <c r="C163">
        <v>1673</v>
      </c>
      <c r="D163">
        <v>20.02</v>
      </c>
      <c r="E163">
        <f t="shared" si="10"/>
        <v>0.29435604923446412</v>
      </c>
      <c r="F163">
        <v>327</v>
      </c>
      <c r="G163">
        <v>3.91</v>
      </c>
      <c r="H163">
        <f t="shared" si="11"/>
        <v>6.9284064665127029E-2</v>
      </c>
      <c r="I163">
        <f t="shared" si="12"/>
        <v>2000</v>
      </c>
      <c r="J163" s="6">
        <f t="shared" si="13"/>
        <v>23.934897079942559</v>
      </c>
      <c r="K163">
        <f t="shared" si="14"/>
        <v>0.26885109177364164</v>
      </c>
    </row>
    <row r="164" spans="1:11" x14ac:dyDescent="0.25">
      <c r="A164" t="s">
        <v>162</v>
      </c>
      <c r="B164">
        <v>3084</v>
      </c>
      <c r="C164">
        <v>373</v>
      </c>
      <c r="D164">
        <v>12.09</v>
      </c>
      <c r="E164">
        <f t="shared" si="10"/>
        <v>0.17532272590813569</v>
      </c>
      <c r="F164">
        <v>269</v>
      </c>
      <c r="G164">
        <v>8.7200000000000006</v>
      </c>
      <c r="H164">
        <f t="shared" si="11"/>
        <v>0.29145496535796772</v>
      </c>
      <c r="I164">
        <f t="shared" si="12"/>
        <v>642</v>
      </c>
      <c r="J164" s="6">
        <f t="shared" si="13"/>
        <v>20.817120622568094</v>
      </c>
      <c r="K164">
        <f t="shared" si="14"/>
        <v>0.22482664666091495</v>
      </c>
    </row>
    <row r="165" spans="1:11" x14ac:dyDescent="0.25">
      <c r="A165" t="s">
        <v>163</v>
      </c>
      <c r="B165">
        <v>3022</v>
      </c>
      <c r="C165">
        <v>924</v>
      </c>
      <c r="D165">
        <v>30.58</v>
      </c>
      <c r="E165">
        <f t="shared" si="10"/>
        <v>0.45286700690483334</v>
      </c>
      <c r="F165">
        <v>85</v>
      </c>
      <c r="G165">
        <v>2.81</v>
      </c>
      <c r="H165">
        <f t="shared" si="11"/>
        <v>1.8475750577367202E-2</v>
      </c>
      <c r="I165">
        <f t="shared" si="12"/>
        <v>1009</v>
      </c>
      <c r="J165" s="6">
        <f t="shared" si="13"/>
        <v>33.388484447385835</v>
      </c>
      <c r="K165">
        <f t="shared" si="14"/>
        <v>0.40234011636100825</v>
      </c>
    </row>
    <row r="166" spans="1:11" x14ac:dyDescent="0.25">
      <c r="A166" t="s">
        <v>164</v>
      </c>
      <c r="B166">
        <v>9883</v>
      </c>
      <c r="C166">
        <v>1067</v>
      </c>
      <c r="D166">
        <v>10.8</v>
      </c>
      <c r="E166">
        <f t="shared" si="10"/>
        <v>0.15595917141999399</v>
      </c>
      <c r="F166">
        <v>1297</v>
      </c>
      <c r="G166">
        <v>13.12</v>
      </c>
      <c r="H166">
        <f t="shared" si="11"/>
        <v>0.49468822170900689</v>
      </c>
      <c r="I166">
        <f t="shared" si="12"/>
        <v>2364</v>
      </c>
      <c r="J166" s="6">
        <f t="shared" si="13"/>
        <v>23.919862389962564</v>
      </c>
      <c r="K166">
        <f t="shared" si="14"/>
        <v>0.26863879499968735</v>
      </c>
    </row>
    <row r="167" spans="1:11" x14ac:dyDescent="0.25">
      <c r="A167" t="s">
        <v>165</v>
      </c>
      <c r="B167">
        <v>3567</v>
      </c>
      <c r="C167">
        <v>837</v>
      </c>
      <c r="D167">
        <v>23.47</v>
      </c>
      <c r="E167">
        <f t="shared" si="10"/>
        <v>0.34614229960972676</v>
      </c>
      <c r="F167">
        <v>97</v>
      </c>
      <c r="G167">
        <v>2.72</v>
      </c>
      <c r="H167">
        <f t="shared" si="11"/>
        <v>1.4318706697459587E-2</v>
      </c>
      <c r="I167">
        <f t="shared" si="12"/>
        <v>934</v>
      </c>
      <c r="J167" s="6">
        <f t="shared" si="13"/>
        <v>26.184468741239137</v>
      </c>
      <c r="K167">
        <f t="shared" si="14"/>
        <v>0.3006160837427248</v>
      </c>
    </row>
    <row r="168" spans="1:11" x14ac:dyDescent="0.25">
      <c r="A168" t="s">
        <v>166</v>
      </c>
      <c r="B168">
        <v>107663</v>
      </c>
      <c r="C168">
        <v>13666</v>
      </c>
      <c r="D168">
        <v>12.69</v>
      </c>
      <c r="E168">
        <f t="shared" si="10"/>
        <v>0.18432903032122483</v>
      </c>
      <c r="F168">
        <v>8262</v>
      </c>
      <c r="G168">
        <v>7.67</v>
      </c>
      <c r="H168">
        <f t="shared" si="11"/>
        <v>0.24295612009237877</v>
      </c>
      <c r="I168">
        <f t="shared" si="12"/>
        <v>21928</v>
      </c>
      <c r="J168" s="6">
        <f t="shared" si="13"/>
        <v>20.367257089250717</v>
      </c>
      <c r="K168">
        <f t="shared" si="14"/>
        <v>0.21847436557164587</v>
      </c>
    </row>
    <row r="169" spans="1:11" x14ac:dyDescent="0.25">
      <c r="A169" t="s">
        <v>167</v>
      </c>
      <c r="B169">
        <v>3703</v>
      </c>
      <c r="C169">
        <v>663</v>
      </c>
      <c r="D169">
        <v>17.899999999999999</v>
      </c>
      <c r="E169">
        <f t="shared" si="10"/>
        <v>0.26253377364154906</v>
      </c>
      <c r="F169">
        <v>502</v>
      </c>
      <c r="G169">
        <v>13.56</v>
      </c>
      <c r="H169">
        <f t="shared" si="11"/>
        <v>0.51501154734411092</v>
      </c>
      <c r="I169">
        <f t="shared" si="12"/>
        <v>1165</v>
      </c>
      <c r="J169" s="6">
        <f t="shared" si="13"/>
        <v>31.46097758574129</v>
      </c>
      <c r="K169">
        <f t="shared" si="14"/>
        <v>0.37512282827283844</v>
      </c>
    </row>
    <row r="170" spans="1:11" x14ac:dyDescent="0.25">
      <c r="A170" t="s">
        <v>168</v>
      </c>
      <c r="B170">
        <v>17035</v>
      </c>
      <c r="C170">
        <v>1049</v>
      </c>
      <c r="D170">
        <v>6.16</v>
      </c>
      <c r="E170">
        <f t="shared" si="10"/>
        <v>8.6310417292104466E-2</v>
      </c>
      <c r="F170">
        <v>744</v>
      </c>
      <c r="G170">
        <v>4.37</v>
      </c>
      <c r="H170">
        <f t="shared" si="11"/>
        <v>9.0531177829099307E-2</v>
      </c>
      <c r="I170">
        <f t="shared" si="12"/>
        <v>1793</v>
      </c>
      <c r="J170" s="6">
        <f t="shared" si="13"/>
        <v>10.525388905195186</v>
      </c>
      <c r="K170">
        <f t="shared" si="14"/>
        <v>7.9502636328261059E-2</v>
      </c>
    </row>
    <row r="171" spans="1:11" x14ac:dyDescent="0.25">
      <c r="A171" t="s">
        <v>169</v>
      </c>
      <c r="B171">
        <v>4109</v>
      </c>
      <c r="C171">
        <v>484</v>
      </c>
      <c r="D171">
        <v>11.78</v>
      </c>
      <c r="E171">
        <f t="shared" si="10"/>
        <v>0.17066946862803961</v>
      </c>
      <c r="F171">
        <v>341</v>
      </c>
      <c r="G171">
        <v>8.3000000000000007</v>
      </c>
      <c r="H171">
        <f t="shared" si="11"/>
        <v>0.27205542725173215</v>
      </c>
      <c r="I171">
        <f t="shared" si="12"/>
        <v>825</v>
      </c>
      <c r="J171" s="6">
        <f t="shared" si="13"/>
        <v>20.077877829155515</v>
      </c>
      <c r="K171">
        <f t="shared" si="14"/>
        <v>0.21438819662175554</v>
      </c>
    </row>
    <row r="172" spans="1:11" x14ac:dyDescent="0.25">
      <c r="A172" t="s">
        <v>170</v>
      </c>
      <c r="B172">
        <v>7665</v>
      </c>
      <c r="C172">
        <v>329</v>
      </c>
      <c r="D172">
        <v>4.29</v>
      </c>
      <c r="E172">
        <f t="shared" si="10"/>
        <v>5.8240768537976578E-2</v>
      </c>
      <c r="F172">
        <v>580</v>
      </c>
      <c r="G172">
        <v>7.57</v>
      </c>
      <c r="H172">
        <f t="shared" si="11"/>
        <v>0.23833718244803698</v>
      </c>
      <c r="I172">
        <f t="shared" si="12"/>
        <v>909</v>
      </c>
      <c r="J172" s="6">
        <f t="shared" si="13"/>
        <v>11.859099804305284</v>
      </c>
      <c r="K172">
        <f t="shared" si="14"/>
        <v>9.8335250878042971E-2</v>
      </c>
    </row>
    <row r="173" spans="1:11" x14ac:dyDescent="0.25">
      <c r="A173" t="s">
        <v>171</v>
      </c>
      <c r="B173">
        <v>37207</v>
      </c>
      <c r="C173">
        <v>3503</v>
      </c>
      <c r="D173">
        <v>9.41</v>
      </c>
      <c r="E173">
        <f t="shared" si="10"/>
        <v>0.13509456619633742</v>
      </c>
      <c r="F173">
        <v>3469</v>
      </c>
      <c r="G173">
        <v>9.32</v>
      </c>
      <c r="H173">
        <f t="shared" si="11"/>
        <v>0.31916859122401853</v>
      </c>
      <c r="I173">
        <f t="shared" si="12"/>
        <v>6972</v>
      </c>
      <c r="J173" s="6">
        <f t="shared" si="13"/>
        <v>18.738409439084045</v>
      </c>
      <c r="K173">
        <f t="shared" si="14"/>
        <v>0.1954742836375665</v>
      </c>
    </row>
    <row r="174" spans="1:11" x14ac:dyDescent="0.25">
      <c r="A174" t="s">
        <v>172</v>
      </c>
      <c r="B174">
        <v>3113</v>
      </c>
      <c r="C174">
        <v>289</v>
      </c>
      <c r="D174">
        <v>9.2799999999999994</v>
      </c>
      <c r="E174">
        <f t="shared" si="10"/>
        <v>0.1331432002401681</v>
      </c>
      <c r="F174">
        <v>259</v>
      </c>
      <c r="G174">
        <v>8.32</v>
      </c>
      <c r="H174">
        <f t="shared" si="11"/>
        <v>0.2729792147806005</v>
      </c>
      <c r="I174">
        <f t="shared" si="12"/>
        <v>548</v>
      </c>
      <c r="J174" s="6">
        <f t="shared" si="13"/>
        <v>17.603597815611948</v>
      </c>
      <c r="K174">
        <f t="shared" si="14"/>
        <v>0.17945021882282883</v>
      </c>
    </row>
    <row r="175" spans="1:11" x14ac:dyDescent="0.25">
      <c r="A175" t="s">
        <v>173</v>
      </c>
      <c r="B175">
        <v>34375</v>
      </c>
      <c r="C175">
        <v>2470</v>
      </c>
      <c r="D175">
        <v>7.19</v>
      </c>
      <c r="E175">
        <f t="shared" si="10"/>
        <v>0.10177123986790754</v>
      </c>
      <c r="F175">
        <v>2949</v>
      </c>
      <c r="G175">
        <v>8.58</v>
      </c>
      <c r="H175">
        <f t="shared" si="11"/>
        <v>0.28498845265588918</v>
      </c>
      <c r="I175">
        <f t="shared" si="12"/>
        <v>5419</v>
      </c>
      <c r="J175" s="6">
        <f t="shared" si="13"/>
        <v>15.764363636363637</v>
      </c>
      <c r="K175">
        <f t="shared" si="14"/>
        <v>0.15347938182383644</v>
      </c>
    </row>
    <row r="176" spans="1:11" x14ac:dyDescent="0.25">
      <c r="A176" t="s">
        <v>174</v>
      </c>
      <c r="B176">
        <v>2266</v>
      </c>
      <c r="C176">
        <v>281</v>
      </c>
      <c r="D176">
        <v>12.4</v>
      </c>
      <c r="E176">
        <f t="shared" si="10"/>
        <v>0.17997598318823174</v>
      </c>
      <c r="F176">
        <v>161</v>
      </c>
      <c r="G176">
        <v>7.11</v>
      </c>
      <c r="H176">
        <f t="shared" si="11"/>
        <v>0.21709006928406469</v>
      </c>
      <c r="I176">
        <f t="shared" si="12"/>
        <v>442</v>
      </c>
      <c r="J176" s="6">
        <f t="shared" si="13"/>
        <v>19.505736981465134</v>
      </c>
      <c r="K176">
        <f t="shared" si="14"/>
        <v>0.20630930331742109</v>
      </c>
    </row>
    <row r="177" spans="1:11" x14ac:dyDescent="0.25">
      <c r="A177" t="s">
        <v>175</v>
      </c>
      <c r="B177">
        <v>3959</v>
      </c>
      <c r="C177">
        <v>505</v>
      </c>
      <c r="D177">
        <v>12.76</v>
      </c>
      <c r="E177">
        <f t="shared" si="10"/>
        <v>0.18537976583608523</v>
      </c>
      <c r="F177">
        <v>391</v>
      </c>
      <c r="G177">
        <v>9.8800000000000008</v>
      </c>
      <c r="H177">
        <f t="shared" si="11"/>
        <v>0.34503464203233264</v>
      </c>
      <c r="I177">
        <f t="shared" si="12"/>
        <v>896</v>
      </c>
      <c r="J177" s="6">
        <f t="shared" si="13"/>
        <v>22.631977772164689</v>
      </c>
      <c r="K177">
        <f t="shared" si="14"/>
        <v>0.25045326873026574</v>
      </c>
    </row>
    <row r="178" spans="1:11" x14ac:dyDescent="0.25">
      <c r="A178" t="s">
        <v>176</v>
      </c>
      <c r="B178">
        <v>2432</v>
      </c>
      <c r="C178">
        <v>277</v>
      </c>
      <c r="D178">
        <v>11.39</v>
      </c>
      <c r="E178">
        <f t="shared" si="10"/>
        <v>0.16481537075953168</v>
      </c>
      <c r="F178">
        <v>208</v>
      </c>
      <c r="G178">
        <v>8.5500000000000007</v>
      </c>
      <c r="H178">
        <f t="shared" si="11"/>
        <v>0.28360277136258666</v>
      </c>
      <c r="I178">
        <f t="shared" si="12"/>
        <v>485</v>
      </c>
      <c r="J178" s="6">
        <f t="shared" si="13"/>
        <v>19.942434210526315</v>
      </c>
      <c r="K178">
        <f t="shared" si="14"/>
        <v>0.21247567010302246</v>
      </c>
    </row>
    <row r="179" spans="1:11" x14ac:dyDescent="0.25">
      <c r="A179" t="s">
        <v>177</v>
      </c>
      <c r="B179">
        <v>7356</v>
      </c>
      <c r="C179">
        <v>426</v>
      </c>
      <c r="D179">
        <v>5.79</v>
      </c>
      <c r="E179">
        <f t="shared" si="10"/>
        <v>8.0756529570699481E-2</v>
      </c>
      <c r="F179">
        <v>998</v>
      </c>
      <c r="G179">
        <v>13.57</v>
      </c>
      <c r="H179">
        <f t="shared" si="11"/>
        <v>0.51547344110854509</v>
      </c>
      <c r="I179">
        <f t="shared" si="12"/>
        <v>1424</v>
      </c>
      <c r="J179" s="6">
        <f t="shared" si="13"/>
        <v>19.358346927678085</v>
      </c>
      <c r="K179">
        <f t="shared" si="14"/>
        <v>0.20422808761070743</v>
      </c>
    </row>
    <row r="180" spans="1:11" x14ac:dyDescent="0.25">
      <c r="A180" t="s">
        <v>178</v>
      </c>
      <c r="B180">
        <v>10727</v>
      </c>
      <c r="C180">
        <v>426</v>
      </c>
      <c r="D180">
        <v>3.97</v>
      </c>
      <c r="E180">
        <f t="shared" si="10"/>
        <v>5.3437406184329024E-2</v>
      </c>
      <c r="F180">
        <v>794</v>
      </c>
      <c r="G180">
        <v>7.4</v>
      </c>
      <c r="H180">
        <f t="shared" si="11"/>
        <v>0.23048498845265591</v>
      </c>
      <c r="I180">
        <f t="shared" si="12"/>
        <v>1220</v>
      </c>
      <c r="J180" s="6">
        <f t="shared" si="13"/>
        <v>11.373170504334857</v>
      </c>
      <c r="K180">
        <f t="shared" si="14"/>
        <v>9.147370448827101E-2</v>
      </c>
    </row>
    <row r="181" spans="1:11" x14ac:dyDescent="0.25">
      <c r="A181" t="s">
        <v>179</v>
      </c>
      <c r="B181">
        <v>2999</v>
      </c>
      <c r="C181">
        <v>70</v>
      </c>
      <c r="D181">
        <v>2.33</v>
      </c>
      <c r="E181">
        <f t="shared" si="10"/>
        <v>2.8820174121885318E-2</v>
      </c>
      <c r="F181">
        <v>203</v>
      </c>
      <c r="G181">
        <v>6.77</v>
      </c>
      <c r="H181">
        <f t="shared" si="11"/>
        <v>0.20138568129330253</v>
      </c>
      <c r="I181">
        <f t="shared" si="12"/>
        <v>273</v>
      </c>
      <c r="J181" s="6">
        <f t="shared" si="13"/>
        <v>9.1030343447815945</v>
      </c>
      <c r="K181">
        <f t="shared" si="14"/>
        <v>5.9418332295605468E-2</v>
      </c>
    </row>
    <row r="182" spans="1:11" x14ac:dyDescent="0.25">
      <c r="A182" t="s">
        <v>180</v>
      </c>
      <c r="B182">
        <v>9519</v>
      </c>
      <c r="C182">
        <v>974</v>
      </c>
      <c r="D182">
        <v>10.23</v>
      </c>
      <c r="E182">
        <f t="shared" si="10"/>
        <v>0.1474031822275593</v>
      </c>
      <c r="F182">
        <v>782</v>
      </c>
      <c r="G182">
        <v>8.2200000000000006</v>
      </c>
      <c r="H182">
        <f t="shared" si="11"/>
        <v>0.26836027713625871</v>
      </c>
      <c r="I182">
        <f t="shared" si="12"/>
        <v>1756</v>
      </c>
      <c r="J182" s="6">
        <f t="shared" si="13"/>
        <v>18.447315894526735</v>
      </c>
      <c r="K182">
        <f t="shared" si="14"/>
        <v>0.19136390819845489</v>
      </c>
    </row>
    <row r="183" spans="1:11" x14ac:dyDescent="0.25">
      <c r="A183" t="s">
        <v>181</v>
      </c>
      <c r="B183">
        <v>2254</v>
      </c>
      <c r="C183">
        <v>470</v>
      </c>
      <c r="D183">
        <v>20.85</v>
      </c>
      <c r="E183">
        <f t="shared" si="10"/>
        <v>0.30681477033923749</v>
      </c>
      <c r="F183">
        <v>106</v>
      </c>
      <c r="G183">
        <v>4.7</v>
      </c>
      <c r="H183">
        <f t="shared" si="11"/>
        <v>0.10577367205542726</v>
      </c>
      <c r="I183">
        <f t="shared" si="12"/>
        <v>576</v>
      </c>
      <c r="J183" s="6">
        <f t="shared" si="13"/>
        <v>25.554569653948533</v>
      </c>
      <c r="K183">
        <f t="shared" si="14"/>
        <v>0.29172161739014529</v>
      </c>
    </row>
    <row r="184" spans="1:11" x14ac:dyDescent="0.25">
      <c r="A184" t="s">
        <v>182</v>
      </c>
      <c r="B184">
        <v>25373</v>
      </c>
      <c r="C184">
        <v>1891</v>
      </c>
      <c r="D184">
        <v>7.45</v>
      </c>
      <c r="E184">
        <f t="shared" si="10"/>
        <v>0.10567397178024616</v>
      </c>
      <c r="F184">
        <v>1964</v>
      </c>
      <c r="G184">
        <v>7.74</v>
      </c>
      <c r="H184">
        <f t="shared" si="11"/>
        <v>0.24618937644341804</v>
      </c>
      <c r="I184">
        <f t="shared" si="12"/>
        <v>3855</v>
      </c>
      <c r="J184" s="6">
        <f t="shared" si="13"/>
        <v>15.193315729318568</v>
      </c>
      <c r="K184">
        <f t="shared" si="14"/>
        <v>0.14541592134674569</v>
      </c>
    </row>
    <row r="185" spans="1:11" x14ac:dyDescent="0.25">
      <c r="A185" t="s">
        <v>183</v>
      </c>
      <c r="B185">
        <v>11940</v>
      </c>
      <c r="C185">
        <v>1548</v>
      </c>
      <c r="D185">
        <v>12.96</v>
      </c>
      <c r="E185">
        <f t="shared" si="10"/>
        <v>0.18838186730711498</v>
      </c>
      <c r="F185">
        <v>452</v>
      </c>
      <c r="G185">
        <v>3.79</v>
      </c>
      <c r="H185">
        <f t="shared" si="11"/>
        <v>6.3741339491916862E-2</v>
      </c>
      <c r="I185">
        <f t="shared" si="12"/>
        <v>2000</v>
      </c>
      <c r="J185" s="6">
        <f t="shared" si="13"/>
        <v>16.750418760469014</v>
      </c>
      <c r="K185">
        <f t="shared" si="14"/>
        <v>0.16740293608848594</v>
      </c>
    </row>
    <row r="186" spans="1:11" x14ac:dyDescent="0.25">
      <c r="A186" t="s">
        <v>184</v>
      </c>
      <c r="B186">
        <v>28028</v>
      </c>
      <c r="C186">
        <v>762</v>
      </c>
      <c r="D186">
        <v>2.72</v>
      </c>
      <c r="E186">
        <f t="shared" si="10"/>
        <v>3.4674271990393274E-2</v>
      </c>
      <c r="F186">
        <v>2329</v>
      </c>
      <c r="G186">
        <v>8.31</v>
      </c>
      <c r="H186">
        <f t="shared" si="11"/>
        <v>0.27251732101616633</v>
      </c>
      <c r="I186">
        <f t="shared" si="12"/>
        <v>3091</v>
      </c>
      <c r="J186" s="6">
        <f t="shared" si="13"/>
        <v>11.028257456828886</v>
      </c>
      <c r="K186">
        <f t="shared" si="14"/>
        <v>8.6603372783547988E-2</v>
      </c>
    </row>
    <row r="187" spans="1:11" x14ac:dyDescent="0.25">
      <c r="A187" t="s">
        <v>185</v>
      </c>
      <c r="B187">
        <v>33736</v>
      </c>
      <c r="C187">
        <v>2255</v>
      </c>
      <c r="D187">
        <v>6.68</v>
      </c>
      <c r="E187">
        <f t="shared" si="10"/>
        <v>9.4115881116781736E-2</v>
      </c>
      <c r="F187">
        <v>2951</v>
      </c>
      <c r="G187">
        <v>8.75</v>
      </c>
      <c r="H187">
        <f t="shared" si="11"/>
        <v>0.29284064665127024</v>
      </c>
      <c r="I187">
        <f t="shared" si="12"/>
        <v>5206</v>
      </c>
      <c r="J187" s="6">
        <f t="shared" si="13"/>
        <v>15.431586435854875</v>
      </c>
      <c r="K187">
        <f t="shared" si="14"/>
        <v>0.1487804138898422</v>
      </c>
    </row>
    <row r="188" spans="1:11" x14ac:dyDescent="0.25">
      <c r="A188" t="s">
        <v>186</v>
      </c>
      <c r="B188">
        <v>112304</v>
      </c>
      <c r="C188">
        <v>20367</v>
      </c>
      <c r="D188">
        <v>18.14</v>
      </c>
      <c r="E188">
        <f t="shared" si="10"/>
        <v>0.26613629540678474</v>
      </c>
      <c r="F188">
        <v>9603</v>
      </c>
      <c r="G188">
        <v>8.5500000000000007</v>
      </c>
      <c r="H188">
        <f t="shared" si="11"/>
        <v>0.28360277136258666</v>
      </c>
      <c r="I188">
        <f t="shared" si="12"/>
        <v>29970</v>
      </c>
      <c r="J188" s="6">
        <f t="shared" si="13"/>
        <v>26.686493802535971</v>
      </c>
      <c r="K188">
        <f t="shared" si="14"/>
        <v>0.30770490972445913</v>
      </c>
    </row>
    <row r="189" spans="1:11" x14ac:dyDescent="0.25">
      <c r="A189" t="s">
        <v>187</v>
      </c>
      <c r="B189">
        <v>18763</v>
      </c>
      <c r="C189">
        <v>482</v>
      </c>
      <c r="D189">
        <v>2.57</v>
      </c>
      <c r="E189">
        <f t="shared" si="10"/>
        <v>3.2422695887120975E-2</v>
      </c>
      <c r="F189">
        <v>1076</v>
      </c>
      <c r="G189">
        <v>5.73</v>
      </c>
      <c r="H189">
        <f t="shared" si="11"/>
        <v>0.15334872979214784</v>
      </c>
      <c r="I189">
        <f t="shared" si="12"/>
        <v>1558</v>
      </c>
      <c r="J189" s="6">
        <f t="shared" si="13"/>
        <v>8.3035761871768905</v>
      </c>
      <c r="K189">
        <f t="shared" si="14"/>
        <v>4.8129613472887564E-2</v>
      </c>
    </row>
    <row r="190" spans="1:11" x14ac:dyDescent="0.25">
      <c r="A190" t="s">
        <v>188</v>
      </c>
      <c r="B190">
        <v>45512</v>
      </c>
      <c r="C190">
        <v>1795</v>
      </c>
      <c r="D190">
        <v>3.94</v>
      </c>
      <c r="E190">
        <f t="shared" si="10"/>
        <v>5.2987090963674564E-2</v>
      </c>
      <c r="F190">
        <v>4674</v>
      </c>
      <c r="G190">
        <v>10.27</v>
      </c>
      <c r="H190">
        <f t="shared" si="11"/>
        <v>0.36304849884526558</v>
      </c>
      <c r="I190">
        <f t="shared" si="12"/>
        <v>6469</v>
      </c>
      <c r="J190" s="6">
        <f t="shared" si="13"/>
        <v>14.21383371418527</v>
      </c>
      <c r="K190">
        <f t="shared" si="14"/>
        <v>0.13158518241992348</v>
      </c>
    </row>
    <row r="191" spans="1:11" x14ac:dyDescent="0.25">
      <c r="A191" t="s">
        <v>189</v>
      </c>
      <c r="B191">
        <v>4276</v>
      </c>
      <c r="C191">
        <v>366</v>
      </c>
      <c r="D191">
        <v>8.56</v>
      </c>
      <c r="E191">
        <f t="shared" si="10"/>
        <v>0.12233563494446112</v>
      </c>
      <c r="F191">
        <v>177</v>
      </c>
      <c r="G191">
        <v>4.1399999999999997</v>
      </c>
      <c r="H191">
        <f t="shared" si="11"/>
        <v>7.9907621247113148E-2</v>
      </c>
      <c r="I191">
        <f t="shared" si="12"/>
        <v>543</v>
      </c>
      <c r="J191" s="6">
        <f t="shared" si="13"/>
        <v>12.698783910196445</v>
      </c>
      <c r="K191">
        <f t="shared" si="14"/>
        <v>0.11019197868942834</v>
      </c>
    </row>
    <row r="192" spans="1:11" x14ac:dyDescent="0.25">
      <c r="A192" t="s">
        <v>190</v>
      </c>
      <c r="B192">
        <v>3191</v>
      </c>
      <c r="C192">
        <v>832</v>
      </c>
      <c r="D192">
        <v>26.07</v>
      </c>
      <c r="E192">
        <f t="shared" si="10"/>
        <v>0.38516961873311317</v>
      </c>
      <c r="F192">
        <v>138</v>
      </c>
      <c r="G192">
        <v>4.32</v>
      </c>
      <c r="H192">
        <f t="shared" si="11"/>
        <v>8.8221709006928425E-2</v>
      </c>
      <c r="I192">
        <f t="shared" si="12"/>
        <v>970</v>
      </c>
      <c r="J192" s="6">
        <f t="shared" si="13"/>
        <v>30.397994359135065</v>
      </c>
      <c r="K192">
        <f t="shared" si="14"/>
        <v>0.36011301363241238</v>
      </c>
    </row>
    <row r="193" spans="1:11" x14ac:dyDescent="0.25">
      <c r="A193" t="s">
        <v>191</v>
      </c>
      <c r="B193">
        <v>36291</v>
      </c>
      <c r="C193">
        <v>5434</v>
      </c>
      <c r="D193">
        <v>14.97</v>
      </c>
      <c r="E193">
        <f t="shared" si="10"/>
        <v>0.21855298709096366</v>
      </c>
      <c r="F193">
        <v>3865</v>
      </c>
      <c r="G193">
        <v>10.65</v>
      </c>
      <c r="H193">
        <f t="shared" si="11"/>
        <v>0.38060046189376445</v>
      </c>
      <c r="I193">
        <f t="shared" si="12"/>
        <v>9299</v>
      </c>
      <c r="J193" s="6">
        <f t="shared" si="13"/>
        <v>25.623432807032049</v>
      </c>
      <c r="K193">
        <f t="shared" si="14"/>
        <v>0.29269399695124043</v>
      </c>
    </row>
    <row r="194" spans="1:11" x14ac:dyDescent="0.25">
      <c r="A194" t="s">
        <v>192</v>
      </c>
      <c r="B194">
        <v>3750</v>
      </c>
      <c r="C194">
        <v>748</v>
      </c>
      <c r="D194">
        <v>19.95</v>
      </c>
      <c r="E194">
        <f t="shared" si="10"/>
        <v>0.29330531371960367</v>
      </c>
      <c r="F194">
        <v>213</v>
      </c>
      <c r="G194">
        <v>5.68</v>
      </c>
      <c r="H194">
        <f t="shared" si="11"/>
        <v>0.15103926096997689</v>
      </c>
      <c r="I194">
        <f t="shared" si="12"/>
        <v>961</v>
      </c>
      <c r="J194" s="6">
        <f t="shared" si="13"/>
        <v>25.626666666666665</v>
      </c>
      <c r="K194">
        <f t="shared" si="14"/>
        <v>0.29273966054448802</v>
      </c>
    </row>
    <row r="195" spans="1:11" x14ac:dyDescent="0.25">
      <c r="A195" t="s">
        <v>193</v>
      </c>
      <c r="B195">
        <v>50329</v>
      </c>
      <c r="C195">
        <v>647</v>
      </c>
      <c r="D195">
        <v>1.29</v>
      </c>
      <c r="E195">
        <f t="shared" ref="E195:E247" si="15">(D195-MIN(D:D))/(MAX(D:D)-MIN(D:D))</f>
        <v>1.3209246472530772E-2</v>
      </c>
      <c r="F195">
        <v>3460</v>
      </c>
      <c r="G195">
        <v>6.87</v>
      </c>
      <c r="H195">
        <f t="shared" ref="H195:H247" si="16">(G195-MIN(G:G))/(MAX(G:G)-MIN(G:G))</f>
        <v>0.20600461893764435</v>
      </c>
      <c r="I195">
        <f t="shared" ref="I195:I247" si="17">C195+F195</f>
        <v>4107</v>
      </c>
      <c r="J195" s="6">
        <f t="shared" ref="J195:J247" si="18">(I195/B195)*100</f>
        <v>8.1603051918377076</v>
      </c>
      <c r="K195">
        <f t="shared" ref="K195:K247" si="19">(J195-MIN(J:J))/(MAX(J:J)-MIN(J:J))</f>
        <v>4.6106560775944959E-2</v>
      </c>
    </row>
    <row r="196" spans="1:11" x14ac:dyDescent="0.25">
      <c r="A196" t="s">
        <v>194</v>
      </c>
      <c r="B196">
        <v>12665</v>
      </c>
      <c r="C196">
        <v>941</v>
      </c>
      <c r="D196">
        <v>7.43</v>
      </c>
      <c r="E196">
        <f t="shared" si="15"/>
        <v>0.10537376163314319</v>
      </c>
      <c r="F196">
        <v>735</v>
      </c>
      <c r="G196">
        <v>5.8</v>
      </c>
      <c r="H196">
        <f t="shared" si="16"/>
        <v>0.15658198614318705</v>
      </c>
      <c r="I196">
        <f t="shared" si="17"/>
        <v>1676</v>
      </c>
      <c r="J196" s="6">
        <f t="shared" si="18"/>
        <v>13.233320173707067</v>
      </c>
      <c r="K196">
        <f t="shared" si="19"/>
        <v>0.11773987787829536</v>
      </c>
    </row>
    <row r="197" spans="1:11" x14ac:dyDescent="0.25">
      <c r="A197" t="s">
        <v>195</v>
      </c>
      <c r="B197">
        <v>3893</v>
      </c>
      <c r="C197">
        <v>490</v>
      </c>
      <c r="D197">
        <v>12.59</v>
      </c>
      <c r="E197">
        <f t="shared" si="15"/>
        <v>0.18282797958570998</v>
      </c>
      <c r="F197">
        <v>257</v>
      </c>
      <c r="G197">
        <v>6.6</v>
      </c>
      <c r="H197">
        <f t="shared" si="16"/>
        <v>0.19353348729792147</v>
      </c>
      <c r="I197">
        <f t="shared" si="17"/>
        <v>747</v>
      </c>
      <c r="J197" s="6">
        <f t="shared" si="18"/>
        <v>19.188286668379142</v>
      </c>
      <c r="K197">
        <f t="shared" si="19"/>
        <v>0.20182675812037346</v>
      </c>
    </row>
    <row r="198" spans="1:11" x14ac:dyDescent="0.25">
      <c r="A198" t="s">
        <v>196</v>
      </c>
      <c r="B198">
        <v>4033</v>
      </c>
      <c r="C198">
        <v>423</v>
      </c>
      <c r="D198">
        <v>10.49</v>
      </c>
      <c r="E198">
        <f t="shared" si="15"/>
        <v>0.15130591413989791</v>
      </c>
      <c r="F198">
        <v>235</v>
      </c>
      <c r="G198">
        <v>5.83</v>
      </c>
      <c r="H198">
        <f t="shared" si="16"/>
        <v>0.15796766743648963</v>
      </c>
      <c r="I198">
        <f t="shared" si="17"/>
        <v>658</v>
      </c>
      <c r="J198" s="6">
        <f t="shared" si="18"/>
        <v>16.315397966774114</v>
      </c>
      <c r="K198">
        <f t="shared" si="19"/>
        <v>0.16126024134537284</v>
      </c>
    </row>
    <row r="199" spans="1:11" x14ac:dyDescent="0.25">
      <c r="A199" t="s">
        <v>197</v>
      </c>
      <c r="B199">
        <v>241494</v>
      </c>
      <c r="C199">
        <v>15276</v>
      </c>
      <c r="D199">
        <v>6.33</v>
      </c>
      <c r="E199">
        <f t="shared" si="15"/>
        <v>8.8862203542479729E-2</v>
      </c>
      <c r="F199">
        <v>10106</v>
      </c>
      <c r="G199">
        <v>4.18</v>
      </c>
      <c r="H199">
        <f t="shared" si="16"/>
        <v>8.175519630484987E-2</v>
      </c>
      <c r="I199">
        <f t="shared" si="17"/>
        <v>25382</v>
      </c>
      <c r="J199" s="6">
        <f t="shared" si="18"/>
        <v>10.510406055636993</v>
      </c>
      <c r="K199">
        <f t="shared" si="19"/>
        <v>7.9291071565031582E-2</v>
      </c>
    </row>
    <row r="200" spans="1:11" x14ac:dyDescent="0.25">
      <c r="A200" t="s">
        <v>198</v>
      </c>
      <c r="B200">
        <v>20186</v>
      </c>
      <c r="C200">
        <v>812</v>
      </c>
      <c r="D200">
        <v>4.0199999999999996</v>
      </c>
      <c r="E200">
        <f t="shared" si="15"/>
        <v>5.4187931552086448E-2</v>
      </c>
      <c r="F200">
        <v>1251</v>
      </c>
      <c r="G200">
        <v>6.2</v>
      </c>
      <c r="H200">
        <f t="shared" si="16"/>
        <v>0.17505773672055427</v>
      </c>
      <c r="I200">
        <f t="shared" si="17"/>
        <v>2063</v>
      </c>
      <c r="J200" s="6">
        <f t="shared" si="18"/>
        <v>10.21995442385812</v>
      </c>
      <c r="K200">
        <f t="shared" si="19"/>
        <v>7.5189760231146194E-2</v>
      </c>
    </row>
    <row r="201" spans="1:11" x14ac:dyDescent="0.25">
      <c r="A201" t="s">
        <v>199</v>
      </c>
      <c r="B201">
        <v>8085</v>
      </c>
      <c r="C201">
        <v>456</v>
      </c>
      <c r="D201">
        <v>5.64</v>
      </c>
      <c r="E201">
        <f t="shared" si="15"/>
        <v>7.8504953467427183E-2</v>
      </c>
      <c r="F201">
        <v>830</v>
      </c>
      <c r="G201">
        <v>10.27</v>
      </c>
      <c r="H201">
        <f t="shared" si="16"/>
        <v>0.36304849884526558</v>
      </c>
      <c r="I201">
        <f t="shared" si="17"/>
        <v>1286</v>
      </c>
      <c r="J201" s="6">
        <f t="shared" si="18"/>
        <v>15.905998763141621</v>
      </c>
      <c r="K201">
        <f t="shared" si="19"/>
        <v>0.15547933530033503</v>
      </c>
    </row>
    <row r="202" spans="1:11" x14ac:dyDescent="0.25">
      <c r="A202" t="s">
        <v>200</v>
      </c>
      <c r="B202">
        <v>6306</v>
      </c>
      <c r="C202">
        <v>805</v>
      </c>
      <c r="D202">
        <v>12.77</v>
      </c>
      <c r="E202">
        <f t="shared" si="15"/>
        <v>0.18552987090963671</v>
      </c>
      <c r="F202">
        <v>779</v>
      </c>
      <c r="G202">
        <v>12.35</v>
      </c>
      <c r="H202">
        <f t="shared" si="16"/>
        <v>0.45912240184757508</v>
      </c>
      <c r="I202">
        <f t="shared" si="17"/>
        <v>1584</v>
      </c>
      <c r="J202" s="6">
        <f t="shared" si="18"/>
        <v>25.118934348239776</v>
      </c>
      <c r="K202">
        <f t="shared" si="19"/>
        <v>0.28557024545327087</v>
      </c>
    </row>
    <row r="203" spans="1:11" x14ac:dyDescent="0.25">
      <c r="A203" t="s">
        <v>201</v>
      </c>
      <c r="B203">
        <v>3004</v>
      </c>
      <c r="C203">
        <v>395</v>
      </c>
      <c r="D203">
        <v>13.15</v>
      </c>
      <c r="E203">
        <f t="shared" si="15"/>
        <v>0.19123386370459319</v>
      </c>
      <c r="F203">
        <v>188</v>
      </c>
      <c r="G203">
        <v>6.26</v>
      </c>
      <c r="H203">
        <f t="shared" si="16"/>
        <v>0.17782909930715934</v>
      </c>
      <c r="I203">
        <f t="shared" si="17"/>
        <v>583</v>
      </c>
      <c r="J203" s="6">
        <f t="shared" si="18"/>
        <v>19.40745672436751</v>
      </c>
      <c r="K203">
        <f t="shared" si="19"/>
        <v>0.20492154064635948</v>
      </c>
    </row>
    <row r="204" spans="1:11" x14ac:dyDescent="0.25">
      <c r="A204" t="s">
        <v>202</v>
      </c>
      <c r="B204">
        <v>5047</v>
      </c>
      <c r="C204">
        <v>518</v>
      </c>
      <c r="D204">
        <v>10.26</v>
      </c>
      <c r="E204">
        <f t="shared" si="15"/>
        <v>0.14785349744821374</v>
      </c>
      <c r="F204">
        <v>256</v>
      </c>
      <c r="G204">
        <v>5.07</v>
      </c>
      <c r="H204">
        <f t="shared" si="16"/>
        <v>0.12286374133949193</v>
      </c>
      <c r="I204">
        <f t="shared" si="17"/>
        <v>774</v>
      </c>
      <c r="J204" s="6">
        <f t="shared" si="18"/>
        <v>15.335843075094116</v>
      </c>
      <c r="K204">
        <f t="shared" si="19"/>
        <v>0.14742847336801607</v>
      </c>
    </row>
    <row r="205" spans="1:11" x14ac:dyDescent="0.25">
      <c r="A205" t="s">
        <v>203</v>
      </c>
      <c r="B205">
        <v>39601</v>
      </c>
      <c r="C205">
        <v>3314</v>
      </c>
      <c r="D205">
        <v>8.3699999999999992</v>
      </c>
      <c r="E205">
        <f t="shared" si="15"/>
        <v>0.11948363854698286</v>
      </c>
      <c r="F205">
        <v>2987</v>
      </c>
      <c r="G205">
        <v>7.54</v>
      </c>
      <c r="H205">
        <f t="shared" si="16"/>
        <v>0.23695150115473443</v>
      </c>
      <c r="I205">
        <f t="shared" si="17"/>
        <v>6301</v>
      </c>
      <c r="J205" s="6">
        <f t="shared" si="18"/>
        <v>15.911214363273654</v>
      </c>
      <c r="K205">
        <f t="shared" si="19"/>
        <v>0.15555298198568332</v>
      </c>
    </row>
    <row r="206" spans="1:11" x14ac:dyDescent="0.25">
      <c r="A206" t="s">
        <v>204</v>
      </c>
      <c r="B206">
        <v>3543</v>
      </c>
      <c r="C206">
        <v>714</v>
      </c>
      <c r="D206">
        <v>20.149999999999999</v>
      </c>
      <c r="E206">
        <f t="shared" si="15"/>
        <v>0.29630741519063342</v>
      </c>
      <c r="F206">
        <v>374</v>
      </c>
      <c r="G206">
        <v>10.56</v>
      </c>
      <c r="H206">
        <f t="shared" si="16"/>
        <v>0.37644341801385683</v>
      </c>
      <c r="I206">
        <f t="shared" si="17"/>
        <v>1088</v>
      </c>
      <c r="J206" s="6">
        <f t="shared" si="18"/>
        <v>30.708439175839686</v>
      </c>
      <c r="K206">
        <f t="shared" si="19"/>
        <v>0.36449663798149495</v>
      </c>
    </row>
    <row r="207" spans="1:11" x14ac:dyDescent="0.25">
      <c r="A207" t="s">
        <v>205</v>
      </c>
      <c r="B207">
        <v>5765</v>
      </c>
      <c r="C207">
        <v>972</v>
      </c>
      <c r="D207">
        <v>16.86</v>
      </c>
      <c r="E207">
        <f t="shared" si="15"/>
        <v>0.2469228459921945</v>
      </c>
      <c r="F207">
        <v>436</v>
      </c>
      <c r="G207">
        <v>7.56</v>
      </c>
      <c r="H207">
        <f t="shared" si="16"/>
        <v>0.23787528868360278</v>
      </c>
      <c r="I207">
        <f t="shared" si="17"/>
        <v>1408</v>
      </c>
      <c r="J207" s="6">
        <f t="shared" si="18"/>
        <v>24.423243712055505</v>
      </c>
      <c r="K207">
        <f t="shared" si="19"/>
        <v>0.27574677201094322</v>
      </c>
    </row>
    <row r="208" spans="1:11" x14ac:dyDescent="0.25">
      <c r="A208" t="s">
        <v>206</v>
      </c>
      <c r="B208">
        <v>2611</v>
      </c>
      <c r="C208">
        <v>541</v>
      </c>
      <c r="D208">
        <v>20.72</v>
      </c>
      <c r="E208">
        <f t="shared" si="15"/>
        <v>0.30486340438306808</v>
      </c>
      <c r="F208">
        <v>198</v>
      </c>
      <c r="G208">
        <v>7.58</v>
      </c>
      <c r="H208">
        <f t="shared" si="16"/>
        <v>0.23879907621247115</v>
      </c>
      <c r="I208">
        <f t="shared" si="17"/>
        <v>739</v>
      </c>
      <c r="J208" s="6">
        <f t="shared" si="18"/>
        <v>28.30333205668326</v>
      </c>
      <c r="K208">
        <f t="shared" si="19"/>
        <v>0.33053541343408255</v>
      </c>
    </row>
    <row r="209" spans="1:11" x14ac:dyDescent="0.25">
      <c r="A209" t="s">
        <v>207</v>
      </c>
      <c r="B209">
        <v>2828</v>
      </c>
      <c r="C209">
        <v>367</v>
      </c>
      <c r="D209">
        <v>12.98</v>
      </c>
      <c r="E209">
        <f t="shared" si="15"/>
        <v>0.18868207745421794</v>
      </c>
      <c r="F209">
        <v>272</v>
      </c>
      <c r="G209">
        <v>9.6199999999999992</v>
      </c>
      <c r="H209">
        <f t="shared" si="16"/>
        <v>0.33302540415704385</v>
      </c>
      <c r="I209">
        <f t="shared" si="17"/>
        <v>639</v>
      </c>
      <c r="J209" s="6">
        <f t="shared" si="18"/>
        <v>22.595473833097596</v>
      </c>
      <c r="K209">
        <f t="shared" si="19"/>
        <v>0.2499378162326833</v>
      </c>
    </row>
    <row r="210" spans="1:11" x14ac:dyDescent="0.25">
      <c r="A210" t="s">
        <v>208</v>
      </c>
      <c r="B210">
        <v>3172</v>
      </c>
      <c r="C210">
        <v>527</v>
      </c>
      <c r="D210">
        <v>16.61</v>
      </c>
      <c r="E210">
        <f t="shared" si="15"/>
        <v>0.24317021915340736</v>
      </c>
      <c r="F210">
        <v>174</v>
      </c>
      <c r="G210">
        <v>5.49</v>
      </c>
      <c r="H210">
        <f t="shared" si="16"/>
        <v>0.1422632794457275</v>
      </c>
      <c r="I210">
        <f t="shared" si="17"/>
        <v>701</v>
      </c>
      <c r="J210" s="6">
        <f t="shared" si="18"/>
        <v>22.099621689785621</v>
      </c>
      <c r="K210">
        <f t="shared" si="19"/>
        <v>0.2429361547070045</v>
      </c>
    </row>
    <row r="211" spans="1:11" x14ac:dyDescent="0.25">
      <c r="A211" t="s">
        <v>209</v>
      </c>
      <c r="B211">
        <v>10837</v>
      </c>
      <c r="C211">
        <v>981</v>
      </c>
      <c r="D211">
        <v>9.0500000000000007</v>
      </c>
      <c r="E211">
        <f t="shared" si="15"/>
        <v>0.12969078354848393</v>
      </c>
      <c r="F211">
        <v>1630</v>
      </c>
      <c r="G211">
        <v>15.04</v>
      </c>
      <c r="H211">
        <f t="shared" si="16"/>
        <v>0.58337182448036951</v>
      </c>
      <c r="I211">
        <f t="shared" si="17"/>
        <v>2611</v>
      </c>
      <c r="J211" s="6">
        <f t="shared" si="18"/>
        <v>24.093383777798284</v>
      </c>
      <c r="K211">
        <f t="shared" si="19"/>
        <v>0.27108899722524749</v>
      </c>
    </row>
    <row r="212" spans="1:11" x14ac:dyDescent="0.25">
      <c r="A212" t="s">
        <v>210</v>
      </c>
      <c r="B212">
        <v>4279</v>
      </c>
      <c r="C212">
        <v>261</v>
      </c>
      <c r="D212">
        <v>6.1</v>
      </c>
      <c r="E212">
        <f t="shared" si="15"/>
        <v>8.5409786850795547E-2</v>
      </c>
      <c r="F212">
        <v>261</v>
      </c>
      <c r="G212">
        <v>6.1</v>
      </c>
      <c r="H212">
        <f t="shared" si="16"/>
        <v>0.17043879907621245</v>
      </c>
      <c r="I212">
        <f t="shared" si="17"/>
        <v>522</v>
      </c>
      <c r="J212" s="6">
        <f t="shared" si="18"/>
        <v>12.199111942042533</v>
      </c>
      <c r="K212">
        <f t="shared" si="19"/>
        <v>0.10313637947084783</v>
      </c>
    </row>
    <row r="213" spans="1:11" x14ac:dyDescent="0.25">
      <c r="A213" t="s">
        <v>211</v>
      </c>
      <c r="B213">
        <v>8066</v>
      </c>
      <c r="C213">
        <v>1028</v>
      </c>
      <c r="D213">
        <v>12.74</v>
      </c>
      <c r="E213">
        <f t="shared" si="15"/>
        <v>0.18507955568898227</v>
      </c>
      <c r="F213">
        <v>642</v>
      </c>
      <c r="G213">
        <v>7.96</v>
      </c>
      <c r="H213">
        <f t="shared" si="16"/>
        <v>0.25635103926096997</v>
      </c>
      <c r="I213">
        <f t="shared" si="17"/>
        <v>1670</v>
      </c>
      <c r="J213" s="6">
        <f t="shared" si="18"/>
        <v>20.704190428961073</v>
      </c>
      <c r="K213">
        <f t="shared" si="19"/>
        <v>0.22323202011279847</v>
      </c>
    </row>
    <row r="214" spans="1:11" x14ac:dyDescent="0.25">
      <c r="A214" t="s">
        <v>212</v>
      </c>
      <c r="B214">
        <v>75221</v>
      </c>
      <c r="C214">
        <v>15966</v>
      </c>
      <c r="D214">
        <v>21.23</v>
      </c>
      <c r="E214">
        <f t="shared" si="15"/>
        <v>0.31251876313419391</v>
      </c>
      <c r="F214">
        <v>3899</v>
      </c>
      <c r="G214">
        <v>5.18</v>
      </c>
      <c r="H214">
        <f t="shared" si="16"/>
        <v>0.1279445727482679</v>
      </c>
      <c r="I214">
        <f t="shared" si="17"/>
        <v>19865</v>
      </c>
      <c r="J214" s="6">
        <f t="shared" si="18"/>
        <v>26.408848592813179</v>
      </c>
      <c r="K214">
        <f t="shared" si="19"/>
        <v>0.3037844309911808</v>
      </c>
    </row>
    <row r="215" spans="1:11" x14ac:dyDescent="0.25">
      <c r="A215" t="s">
        <v>213</v>
      </c>
      <c r="B215">
        <v>9457</v>
      </c>
      <c r="C215">
        <v>2292</v>
      </c>
      <c r="D215">
        <v>24.24</v>
      </c>
      <c r="E215">
        <f t="shared" si="15"/>
        <v>0.35770039027319117</v>
      </c>
      <c r="F215">
        <v>925</v>
      </c>
      <c r="G215">
        <v>9.7799999999999994</v>
      </c>
      <c r="H215">
        <f t="shared" si="16"/>
        <v>0.34041570438799074</v>
      </c>
      <c r="I215">
        <f t="shared" si="17"/>
        <v>3217</v>
      </c>
      <c r="J215" s="6">
        <f t="shared" si="18"/>
        <v>34.017130168129427</v>
      </c>
      <c r="K215">
        <f t="shared" si="19"/>
        <v>0.41121688459843764</v>
      </c>
    </row>
    <row r="216" spans="1:11" x14ac:dyDescent="0.25">
      <c r="A216" t="s">
        <v>214</v>
      </c>
      <c r="B216">
        <v>6507</v>
      </c>
      <c r="C216">
        <v>1505</v>
      </c>
      <c r="D216">
        <v>23.13</v>
      </c>
      <c r="E216">
        <f t="shared" si="15"/>
        <v>0.34103872710897626</v>
      </c>
      <c r="F216">
        <v>593</v>
      </c>
      <c r="G216">
        <v>9.11</v>
      </c>
      <c r="H216">
        <f t="shared" si="16"/>
        <v>0.30946882217090066</v>
      </c>
      <c r="I216">
        <f t="shared" si="17"/>
        <v>2098</v>
      </c>
      <c r="J216" s="6">
        <f t="shared" si="18"/>
        <v>32.242200706930994</v>
      </c>
      <c r="K216">
        <f t="shared" si="19"/>
        <v>0.38615405995022817</v>
      </c>
    </row>
    <row r="217" spans="1:11" x14ac:dyDescent="0.25">
      <c r="A217" t="s">
        <v>215</v>
      </c>
      <c r="B217">
        <v>15026</v>
      </c>
      <c r="C217">
        <v>702</v>
      </c>
      <c r="D217">
        <v>4.67</v>
      </c>
      <c r="E217">
        <f t="shared" si="15"/>
        <v>6.3944761332933045E-2</v>
      </c>
      <c r="F217">
        <v>2245</v>
      </c>
      <c r="G217">
        <v>14.94</v>
      </c>
      <c r="H217">
        <f t="shared" si="16"/>
        <v>0.57875288683602777</v>
      </c>
      <c r="I217">
        <f t="shared" si="17"/>
        <v>2947</v>
      </c>
      <c r="J217" s="6">
        <f t="shared" si="18"/>
        <v>19.612671369625982</v>
      </c>
      <c r="K217">
        <f t="shared" si="19"/>
        <v>0.20781926632041803</v>
      </c>
    </row>
    <row r="218" spans="1:11" x14ac:dyDescent="0.25">
      <c r="A218" t="s">
        <v>216</v>
      </c>
      <c r="B218">
        <v>1812</v>
      </c>
      <c r="C218">
        <v>256</v>
      </c>
      <c r="D218">
        <v>14.13</v>
      </c>
      <c r="E218">
        <f t="shared" si="15"/>
        <v>0.20594416091263884</v>
      </c>
      <c r="F218">
        <v>160</v>
      </c>
      <c r="G218">
        <v>8.83</v>
      </c>
      <c r="H218">
        <f t="shared" si="16"/>
        <v>0.29653579676674369</v>
      </c>
      <c r="I218">
        <f t="shared" si="17"/>
        <v>416</v>
      </c>
      <c r="J218" s="6">
        <f t="shared" si="18"/>
        <v>22.958057395143488</v>
      </c>
      <c r="K218">
        <f t="shared" si="19"/>
        <v>0.25505766377284611</v>
      </c>
    </row>
    <row r="219" spans="1:11" x14ac:dyDescent="0.25">
      <c r="A219" t="s">
        <v>217</v>
      </c>
      <c r="B219">
        <v>35288</v>
      </c>
      <c r="C219">
        <v>1768</v>
      </c>
      <c r="D219">
        <v>5.01</v>
      </c>
      <c r="E219">
        <f t="shared" si="15"/>
        <v>6.904833383368357E-2</v>
      </c>
      <c r="F219">
        <v>2461</v>
      </c>
      <c r="G219">
        <v>6.97</v>
      </c>
      <c r="H219">
        <f t="shared" si="16"/>
        <v>0.21062355658198614</v>
      </c>
      <c r="I219">
        <f t="shared" si="17"/>
        <v>4229</v>
      </c>
      <c r="J219" s="6">
        <f t="shared" si="18"/>
        <v>11.984243935615508</v>
      </c>
      <c r="K219">
        <f t="shared" si="19"/>
        <v>0.10010234387376286</v>
      </c>
    </row>
    <row r="220" spans="1:11" x14ac:dyDescent="0.25">
      <c r="A220" t="s">
        <v>218</v>
      </c>
      <c r="B220">
        <v>4939</v>
      </c>
      <c r="C220">
        <v>1163</v>
      </c>
      <c r="D220">
        <v>23.55</v>
      </c>
      <c r="E220">
        <f t="shared" si="15"/>
        <v>0.34734314019813867</v>
      </c>
      <c r="F220">
        <v>455</v>
      </c>
      <c r="G220">
        <v>9.2100000000000009</v>
      </c>
      <c r="H220">
        <f t="shared" si="16"/>
        <v>0.31408775981524256</v>
      </c>
      <c r="I220">
        <f t="shared" si="17"/>
        <v>1618</v>
      </c>
      <c r="J220" s="6">
        <f t="shared" si="18"/>
        <v>32.75966794897753</v>
      </c>
      <c r="K220">
        <f t="shared" si="19"/>
        <v>0.3934609366639924</v>
      </c>
    </row>
    <row r="221" spans="1:11" x14ac:dyDescent="0.25">
      <c r="A221" t="s">
        <v>219</v>
      </c>
      <c r="B221">
        <v>22040</v>
      </c>
      <c r="C221">
        <v>2459</v>
      </c>
      <c r="D221">
        <v>11.16</v>
      </c>
      <c r="E221">
        <f t="shared" si="15"/>
        <v>0.16136295406784748</v>
      </c>
      <c r="F221">
        <v>2470</v>
      </c>
      <c r="G221">
        <v>11.21</v>
      </c>
      <c r="H221">
        <f t="shared" si="16"/>
        <v>0.40646651270207856</v>
      </c>
      <c r="I221">
        <f t="shared" si="17"/>
        <v>4929</v>
      </c>
      <c r="J221" s="6">
        <f t="shared" si="18"/>
        <v>22.363883847549911</v>
      </c>
      <c r="K221">
        <f t="shared" si="19"/>
        <v>0.24666765855884315</v>
      </c>
    </row>
    <row r="222" spans="1:11" x14ac:dyDescent="0.25">
      <c r="A222" t="s">
        <v>220</v>
      </c>
      <c r="B222">
        <v>4671</v>
      </c>
      <c r="C222">
        <v>403</v>
      </c>
      <c r="D222">
        <v>8.6300000000000008</v>
      </c>
      <c r="E222">
        <f t="shared" si="15"/>
        <v>0.12338637045932152</v>
      </c>
      <c r="F222">
        <v>162</v>
      </c>
      <c r="G222">
        <v>3.47</v>
      </c>
      <c r="H222">
        <f t="shared" si="16"/>
        <v>4.8960739030023098E-2</v>
      </c>
      <c r="I222">
        <f t="shared" si="17"/>
        <v>565</v>
      </c>
      <c r="J222" s="6">
        <f t="shared" si="18"/>
        <v>12.095910939841575</v>
      </c>
      <c r="K222">
        <f t="shared" si="19"/>
        <v>0.10167913360377226</v>
      </c>
    </row>
    <row r="223" spans="1:11" x14ac:dyDescent="0.25">
      <c r="A223" t="s">
        <v>221</v>
      </c>
      <c r="B223">
        <v>2200</v>
      </c>
      <c r="C223">
        <v>557</v>
      </c>
      <c r="D223">
        <v>25.32</v>
      </c>
      <c r="E223">
        <f t="shared" si="15"/>
        <v>0.37391173821675172</v>
      </c>
      <c r="F223">
        <v>140</v>
      </c>
      <c r="G223">
        <v>6.36</v>
      </c>
      <c r="H223">
        <f t="shared" si="16"/>
        <v>0.18244803695150116</v>
      </c>
      <c r="I223">
        <f t="shared" si="17"/>
        <v>697</v>
      </c>
      <c r="J223" s="6">
        <f t="shared" si="18"/>
        <v>31.681818181818183</v>
      </c>
      <c r="K223">
        <f t="shared" si="19"/>
        <v>0.3782411995972651</v>
      </c>
    </row>
    <row r="224" spans="1:11" x14ac:dyDescent="0.25">
      <c r="A224" t="s">
        <v>222</v>
      </c>
      <c r="B224">
        <v>17181</v>
      </c>
      <c r="C224">
        <v>1127</v>
      </c>
      <c r="D224">
        <v>6.56</v>
      </c>
      <c r="E224">
        <f t="shared" si="15"/>
        <v>9.2314620234163897E-2</v>
      </c>
      <c r="F224">
        <v>1774</v>
      </c>
      <c r="G224">
        <v>10.33</v>
      </c>
      <c r="H224">
        <f t="shared" si="16"/>
        <v>0.36581986143187067</v>
      </c>
      <c r="I224">
        <f t="shared" si="17"/>
        <v>2901</v>
      </c>
      <c r="J224" s="6">
        <f t="shared" si="18"/>
        <v>16.884931028461672</v>
      </c>
      <c r="K224">
        <f t="shared" si="19"/>
        <v>0.16930231150561192</v>
      </c>
    </row>
    <row r="225" spans="1:11" x14ac:dyDescent="0.25">
      <c r="A225" t="s">
        <v>223</v>
      </c>
      <c r="B225">
        <v>175042</v>
      </c>
      <c r="C225">
        <v>9804</v>
      </c>
      <c r="D225">
        <v>5.6</v>
      </c>
      <c r="E225">
        <f t="shared" si="15"/>
        <v>7.7904533173221241E-2</v>
      </c>
      <c r="F225">
        <v>11794</v>
      </c>
      <c r="G225">
        <v>6.74</v>
      </c>
      <c r="H225">
        <f t="shared" si="16"/>
        <v>0.2</v>
      </c>
      <c r="I225">
        <f t="shared" si="17"/>
        <v>21598</v>
      </c>
      <c r="J225" s="6">
        <f t="shared" si="18"/>
        <v>12.338752984997885</v>
      </c>
      <c r="K225">
        <f t="shared" si="19"/>
        <v>0.10510817556178657</v>
      </c>
    </row>
    <row r="226" spans="1:11" x14ac:dyDescent="0.25">
      <c r="A226" t="s">
        <v>224</v>
      </c>
      <c r="B226">
        <v>8237</v>
      </c>
      <c r="C226">
        <v>901</v>
      </c>
      <c r="D226">
        <v>10.94</v>
      </c>
      <c r="E226">
        <f t="shared" si="15"/>
        <v>0.15806064244971477</v>
      </c>
      <c r="F226">
        <v>421</v>
      </c>
      <c r="G226">
        <v>5.1100000000000003</v>
      </c>
      <c r="H226">
        <f t="shared" si="16"/>
        <v>0.12471131639722866</v>
      </c>
      <c r="I226">
        <f t="shared" si="17"/>
        <v>1322</v>
      </c>
      <c r="J226" s="6">
        <f t="shared" si="18"/>
        <v>16.04953259681923</v>
      </c>
      <c r="K226">
        <f t="shared" si="19"/>
        <v>0.15750609939614207</v>
      </c>
    </row>
    <row r="227" spans="1:11" x14ac:dyDescent="0.25">
      <c r="A227" t="s">
        <v>225</v>
      </c>
      <c r="B227">
        <v>23150</v>
      </c>
      <c r="C227">
        <v>2126</v>
      </c>
      <c r="D227">
        <v>9.18</v>
      </c>
      <c r="E227">
        <f t="shared" si="15"/>
        <v>0.13164214950465325</v>
      </c>
      <c r="F227">
        <v>1980</v>
      </c>
      <c r="G227">
        <v>8.5500000000000007</v>
      </c>
      <c r="H227">
        <f t="shared" si="16"/>
        <v>0.28360277136258666</v>
      </c>
      <c r="I227">
        <f t="shared" si="17"/>
        <v>4106</v>
      </c>
      <c r="J227" s="6">
        <f t="shared" si="18"/>
        <v>17.736501079913609</v>
      </c>
      <c r="K227">
        <f t="shared" si="19"/>
        <v>0.18132687436389924</v>
      </c>
    </row>
    <row r="228" spans="1:11" x14ac:dyDescent="0.25">
      <c r="A228" t="s">
        <v>226</v>
      </c>
      <c r="B228">
        <v>5634</v>
      </c>
      <c r="C228">
        <v>1355</v>
      </c>
      <c r="D228">
        <v>24.05</v>
      </c>
      <c r="E228">
        <f t="shared" si="15"/>
        <v>0.35484839387571299</v>
      </c>
      <c r="F228">
        <v>695</v>
      </c>
      <c r="G228">
        <v>12.34</v>
      </c>
      <c r="H228">
        <f t="shared" si="16"/>
        <v>0.45866050808314091</v>
      </c>
      <c r="I228">
        <f t="shared" si="17"/>
        <v>2050</v>
      </c>
      <c r="J228" s="6">
        <f t="shared" si="18"/>
        <v>36.386226482073127</v>
      </c>
      <c r="K228">
        <f t="shared" si="19"/>
        <v>0.4446696199262965</v>
      </c>
    </row>
    <row r="229" spans="1:11" x14ac:dyDescent="0.25">
      <c r="A229" t="s">
        <v>227</v>
      </c>
      <c r="B229">
        <v>2978</v>
      </c>
      <c r="C229">
        <v>1438</v>
      </c>
      <c r="D229">
        <v>48.29</v>
      </c>
      <c r="E229">
        <f t="shared" si="15"/>
        <v>0.71870309216451511</v>
      </c>
      <c r="F229">
        <v>165</v>
      </c>
      <c r="G229">
        <v>5.54</v>
      </c>
      <c r="H229">
        <f t="shared" si="16"/>
        <v>0.1445727482678984</v>
      </c>
      <c r="I229">
        <f t="shared" si="17"/>
        <v>1603</v>
      </c>
      <c r="J229" s="6">
        <f t="shared" si="18"/>
        <v>53.828072531900602</v>
      </c>
      <c r="K229">
        <f t="shared" si="19"/>
        <v>0.69095655055887095</v>
      </c>
    </row>
    <row r="230" spans="1:11" x14ac:dyDescent="0.25">
      <c r="A230" t="s">
        <v>228</v>
      </c>
      <c r="B230">
        <v>4180</v>
      </c>
      <c r="C230">
        <v>470</v>
      </c>
      <c r="D230">
        <v>11.24</v>
      </c>
      <c r="E230">
        <f t="shared" si="15"/>
        <v>0.16256379465625936</v>
      </c>
      <c r="F230">
        <v>285</v>
      </c>
      <c r="G230">
        <v>6.82</v>
      </c>
      <c r="H230">
        <f t="shared" si="16"/>
        <v>0.20369515011547346</v>
      </c>
      <c r="I230">
        <f t="shared" si="17"/>
        <v>755</v>
      </c>
      <c r="J230" s="6">
        <f t="shared" si="18"/>
        <v>18.062200956937797</v>
      </c>
      <c r="K230">
        <f t="shared" si="19"/>
        <v>0.18592590721802124</v>
      </c>
    </row>
    <row r="231" spans="1:11" x14ac:dyDescent="0.25">
      <c r="A231" t="s">
        <v>229</v>
      </c>
      <c r="B231">
        <v>2660</v>
      </c>
      <c r="C231">
        <v>1783</v>
      </c>
      <c r="D231">
        <v>67.03</v>
      </c>
      <c r="E231">
        <f t="shared" si="15"/>
        <v>1</v>
      </c>
      <c r="F231">
        <v>231</v>
      </c>
      <c r="G231">
        <v>8.68</v>
      </c>
      <c r="H231">
        <f t="shared" si="16"/>
        <v>0.28960739030023097</v>
      </c>
      <c r="I231">
        <f t="shared" si="17"/>
        <v>2014</v>
      </c>
      <c r="J231" s="6">
        <f t="shared" si="18"/>
        <v>75.714285714285708</v>
      </c>
      <c r="K231">
        <f t="shared" si="19"/>
        <v>1</v>
      </c>
    </row>
    <row r="232" spans="1:11" x14ac:dyDescent="0.25">
      <c r="A232" t="s">
        <v>230</v>
      </c>
      <c r="B232">
        <v>8340</v>
      </c>
      <c r="C232">
        <v>2833</v>
      </c>
      <c r="D232">
        <v>33.97</v>
      </c>
      <c r="E232">
        <f t="shared" si="15"/>
        <v>0.50375262683878719</v>
      </c>
      <c r="F232">
        <v>474</v>
      </c>
      <c r="G232">
        <v>5.68</v>
      </c>
      <c r="H232">
        <f t="shared" si="16"/>
        <v>0.15103926096997689</v>
      </c>
      <c r="I232">
        <f t="shared" si="17"/>
        <v>3307</v>
      </c>
      <c r="J232" s="6">
        <f t="shared" si="18"/>
        <v>39.652278177458037</v>
      </c>
      <c r="K232">
        <f t="shared" si="19"/>
        <v>0.49078777995624479</v>
      </c>
    </row>
    <row r="233" spans="1:11" x14ac:dyDescent="0.25">
      <c r="A233" t="s">
        <v>231</v>
      </c>
      <c r="B233">
        <v>2976</v>
      </c>
      <c r="C233">
        <v>558</v>
      </c>
      <c r="D233">
        <v>18.75</v>
      </c>
      <c r="E233">
        <f t="shared" si="15"/>
        <v>0.27529270489342539</v>
      </c>
      <c r="F233">
        <v>144</v>
      </c>
      <c r="G233">
        <v>4.84</v>
      </c>
      <c r="H233">
        <f t="shared" si="16"/>
        <v>0.11224018475750577</v>
      </c>
      <c r="I233">
        <f t="shared" si="17"/>
        <v>702</v>
      </c>
      <c r="J233" s="6">
        <f t="shared" si="18"/>
        <v>23.588709677419356</v>
      </c>
      <c r="K233">
        <f t="shared" si="19"/>
        <v>0.26396276558686471</v>
      </c>
    </row>
    <row r="234" spans="1:11" x14ac:dyDescent="0.25">
      <c r="A234" t="s">
        <v>232</v>
      </c>
      <c r="B234">
        <v>153560</v>
      </c>
      <c r="C234">
        <v>12039</v>
      </c>
      <c r="D234">
        <v>7.84</v>
      </c>
      <c r="E234">
        <f t="shared" si="15"/>
        <v>0.11152806964875411</v>
      </c>
      <c r="F234">
        <v>11536</v>
      </c>
      <c r="G234">
        <v>7.51</v>
      </c>
      <c r="H234">
        <f t="shared" si="16"/>
        <v>0.23556581986143188</v>
      </c>
      <c r="I234">
        <f t="shared" si="17"/>
        <v>23575</v>
      </c>
      <c r="J234" s="6">
        <f t="shared" si="18"/>
        <v>15.352305287835375</v>
      </c>
      <c r="K234">
        <f t="shared" si="19"/>
        <v>0.14766092742338857</v>
      </c>
    </row>
    <row r="235" spans="1:11" x14ac:dyDescent="0.25">
      <c r="A235" t="s">
        <v>233</v>
      </c>
      <c r="B235">
        <v>3080</v>
      </c>
      <c r="C235">
        <v>179</v>
      </c>
      <c r="D235">
        <v>5.81</v>
      </c>
      <c r="E235">
        <f t="shared" si="15"/>
        <v>8.1056739717802445E-2</v>
      </c>
      <c r="F235">
        <v>582</v>
      </c>
      <c r="G235">
        <v>18.899999999999999</v>
      </c>
      <c r="H235">
        <f t="shared" si="16"/>
        <v>0.76166281755196308</v>
      </c>
      <c r="I235">
        <f t="shared" si="17"/>
        <v>761</v>
      </c>
      <c r="J235" s="6">
        <f t="shared" si="18"/>
        <v>24.70779220779221</v>
      </c>
      <c r="K235">
        <f t="shared" si="19"/>
        <v>0.27976472833454019</v>
      </c>
    </row>
    <row r="236" spans="1:11" x14ac:dyDescent="0.25">
      <c r="A236" t="s">
        <v>234</v>
      </c>
      <c r="B236">
        <v>4449</v>
      </c>
      <c r="C236">
        <v>435</v>
      </c>
      <c r="D236">
        <v>9.7799999999999994</v>
      </c>
      <c r="E236">
        <f t="shared" si="15"/>
        <v>0.14064845391774239</v>
      </c>
      <c r="F236">
        <v>279</v>
      </c>
      <c r="G236">
        <v>6.27</v>
      </c>
      <c r="H236">
        <f t="shared" si="16"/>
        <v>0.17829099307159352</v>
      </c>
      <c r="I236">
        <f t="shared" si="17"/>
        <v>714</v>
      </c>
      <c r="J236" s="6">
        <f t="shared" si="18"/>
        <v>16.04855023600809</v>
      </c>
      <c r="K236">
        <f t="shared" si="19"/>
        <v>0.1574922280072846</v>
      </c>
    </row>
    <row r="237" spans="1:11" x14ac:dyDescent="0.25">
      <c r="A237" t="s">
        <v>235</v>
      </c>
      <c r="B237">
        <v>5171</v>
      </c>
      <c r="C237">
        <v>783</v>
      </c>
      <c r="D237">
        <v>15.14</v>
      </c>
      <c r="E237">
        <f t="shared" si="15"/>
        <v>0.22110477334133893</v>
      </c>
      <c r="F237">
        <v>324</v>
      </c>
      <c r="G237">
        <v>6.27</v>
      </c>
      <c r="H237">
        <f t="shared" si="16"/>
        <v>0.17829099307159352</v>
      </c>
      <c r="I237">
        <f t="shared" si="17"/>
        <v>1107</v>
      </c>
      <c r="J237" s="6">
        <f t="shared" si="18"/>
        <v>21.407851479404371</v>
      </c>
      <c r="K237">
        <f t="shared" si="19"/>
        <v>0.23316803948966294</v>
      </c>
    </row>
    <row r="238" spans="1:11" x14ac:dyDescent="0.25">
      <c r="A238" t="s">
        <v>236</v>
      </c>
      <c r="B238">
        <v>2798</v>
      </c>
      <c r="C238">
        <v>656</v>
      </c>
      <c r="D238">
        <v>23.45</v>
      </c>
      <c r="E238">
        <f t="shared" si="15"/>
        <v>0.34584208946262379</v>
      </c>
      <c r="F238">
        <v>241</v>
      </c>
      <c r="G238">
        <v>8.61</v>
      </c>
      <c r="H238">
        <f t="shared" si="16"/>
        <v>0.28637413394919164</v>
      </c>
      <c r="I238">
        <f t="shared" si="17"/>
        <v>897</v>
      </c>
      <c r="J238" s="6">
        <f t="shared" si="18"/>
        <v>32.058613295210861</v>
      </c>
      <c r="K238">
        <f t="shared" si="19"/>
        <v>0.38356172081329504</v>
      </c>
    </row>
    <row r="239" spans="1:11" x14ac:dyDescent="0.25">
      <c r="A239" t="s">
        <v>237</v>
      </c>
      <c r="B239">
        <v>44533</v>
      </c>
      <c r="C239">
        <v>1518</v>
      </c>
      <c r="D239">
        <v>3.41</v>
      </c>
      <c r="E239">
        <f t="shared" si="15"/>
        <v>4.5031522065445806E-2</v>
      </c>
      <c r="F239">
        <v>2348</v>
      </c>
      <c r="G239">
        <v>5.27</v>
      </c>
      <c r="H239">
        <f t="shared" si="16"/>
        <v>0.13210161662817549</v>
      </c>
      <c r="I239">
        <f t="shared" si="17"/>
        <v>3866</v>
      </c>
      <c r="J239" s="6">
        <f t="shared" si="18"/>
        <v>8.6812027036130512</v>
      </c>
      <c r="K239">
        <f t="shared" si="19"/>
        <v>5.3461874484298871E-2</v>
      </c>
    </row>
    <row r="240" spans="1:11" x14ac:dyDescent="0.25">
      <c r="A240" t="s">
        <v>238</v>
      </c>
      <c r="B240">
        <v>13857</v>
      </c>
      <c r="C240">
        <v>2883</v>
      </c>
      <c r="D240">
        <v>20.81</v>
      </c>
      <c r="E240">
        <f t="shared" si="15"/>
        <v>0.3062143500450315</v>
      </c>
      <c r="F240">
        <v>1600</v>
      </c>
      <c r="G240">
        <v>11.55</v>
      </c>
      <c r="H240">
        <f t="shared" si="16"/>
        <v>0.42217090069284069</v>
      </c>
      <c r="I240">
        <f t="shared" si="17"/>
        <v>4483</v>
      </c>
      <c r="J240" s="6">
        <f t="shared" si="18"/>
        <v>32.351879916287793</v>
      </c>
      <c r="K240">
        <f t="shared" si="19"/>
        <v>0.38770278109760697</v>
      </c>
    </row>
    <row r="241" spans="1:11" x14ac:dyDescent="0.25">
      <c r="A241" t="s">
        <v>239</v>
      </c>
      <c r="B241">
        <v>3700</v>
      </c>
      <c r="C241">
        <v>262</v>
      </c>
      <c r="D241">
        <v>7.08</v>
      </c>
      <c r="E241">
        <f t="shared" si="15"/>
        <v>0.10012008405884118</v>
      </c>
      <c r="F241">
        <v>315</v>
      </c>
      <c r="G241">
        <v>8.51</v>
      </c>
      <c r="H241">
        <f t="shared" si="16"/>
        <v>0.28175519630484991</v>
      </c>
      <c r="I241">
        <f t="shared" si="17"/>
        <v>577</v>
      </c>
      <c r="J241" s="6">
        <f t="shared" si="18"/>
        <v>15.594594594594593</v>
      </c>
      <c r="K241">
        <f t="shared" si="19"/>
        <v>0.1510821644596719</v>
      </c>
    </row>
    <row r="242" spans="1:11" x14ac:dyDescent="0.25">
      <c r="A242" t="s">
        <v>240</v>
      </c>
      <c r="B242">
        <v>218416</v>
      </c>
      <c r="C242">
        <v>1916</v>
      </c>
      <c r="D242">
        <v>0.88</v>
      </c>
      <c r="E242">
        <f t="shared" si="15"/>
        <v>7.0549384569198442E-3</v>
      </c>
      <c r="F242">
        <v>21617</v>
      </c>
      <c r="G242">
        <v>9.9</v>
      </c>
      <c r="H242">
        <f t="shared" si="16"/>
        <v>0.34595842956120093</v>
      </c>
      <c r="I242">
        <f t="shared" si="17"/>
        <v>23533</v>
      </c>
      <c r="J242" s="6">
        <f t="shared" si="18"/>
        <v>10.774393817302762</v>
      </c>
      <c r="K242">
        <f t="shared" si="19"/>
        <v>8.3018700817089383E-2</v>
      </c>
    </row>
    <row r="243" spans="1:11" x14ac:dyDescent="0.25">
      <c r="A243" t="s">
        <v>241</v>
      </c>
      <c r="B243">
        <v>3770</v>
      </c>
      <c r="C243">
        <v>572</v>
      </c>
      <c r="D243">
        <v>15.17</v>
      </c>
      <c r="E243">
        <f t="shared" si="15"/>
        <v>0.22155508856199338</v>
      </c>
      <c r="F243">
        <v>235</v>
      </c>
      <c r="G243">
        <v>6.23</v>
      </c>
      <c r="H243">
        <f t="shared" si="16"/>
        <v>0.17644341801385685</v>
      </c>
      <c r="I243">
        <f t="shared" si="17"/>
        <v>807</v>
      </c>
      <c r="J243" s="6">
        <f t="shared" si="18"/>
        <v>21.405835543766578</v>
      </c>
      <c r="K243">
        <f t="shared" si="19"/>
        <v>0.23313957354636966</v>
      </c>
    </row>
    <row r="244" spans="1:11" x14ac:dyDescent="0.25">
      <c r="A244" t="s">
        <v>242</v>
      </c>
      <c r="B244">
        <v>15644</v>
      </c>
      <c r="C244">
        <v>1432</v>
      </c>
      <c r="D244">
        <v>9.15</v>
      </c>
      <c r="E244">
        <f t="shared" si="15"/>
        <v>0.1311918342839988</v>
      </c>
      <c r="F244">
        <v>899</v>
      </c>
      <c r="G244">
        <v>5.75</v>
      </c>
      <c r="H244">
        <f t="shared" si="16"/>
        <v>0.15427251732101616</v>
      </c>
      <c r="I244">
        <f t="shared" si="17"/>
        <v>2331</v>
      </c>
      <c r="J244" s="6">
        <f t="shared" si="18"/>
        <v>14.900281257990283</v>
      </c>
      <c r="K244">
        <f t="shared" si="19"/>
        <v>0.14127813912422135</v>
      </c>
    </row>
    <row r="245" spans="1:11" x14ac:dyDescent="0.25">
      <c r="A245" t="s">
        <v>243</v>
      </c>
      <c r="B245">
        <v>9175</v>
      </c>
      <c r="C245">
        <v>453</v>
      </c>
      <c r="D245">
        <v>4.9400000000000004</v>
      </c>
      <c r="E245">
        <f t="shared" si="15"/>
        <v>6.7997598318823169E-2</v>
      </c>
      <c r="F245">
        <v>893</v>
      </c>
      <c r="G245">
        <v>9.73</v>
      </c>
      <c r="H245">
        <f t="shared" si="16"/>
        <v>0.33810623556581992</v>
      </c>
      <c r="I245">
        <f t="shared" si="17"/>
        <v>1346</v>
      </c>
      <c r="J245" s="6">
        <f t="shared" si="18"/>
        <v>14.670299727520437</v>
      </c>
      <c r="K245">
        <f t="shared" si="19"/>
        <v>0.1380306935797653</v>
      </c>
    </row>
    <row r="246" spans="1:11" x14ac:dyDescent="0.25">
      <c r="A246" t="s">
        <v>244</v>
      </c>
      <c r="B246">
        <v>4145</v>
      </c>
      <c r="C246">
        <v>920</v>
      </c>
      <c r="D246">
        <v>22.2</v>
      </c>
      <c r="E246">
        <f t="shared" si="15"/>
        <v>0.32707895526868802</v>
      </c>
      <c r="F246">
        <v>529</v>
      </c>
      <c r="G246">
        <v>12.76</v>
      </c>
      <c r="H246">
        <f t="shared" si="16"/>
        <v>0.47806004618937648</v>
      </c>
      <c r="I246">
        <f t="shared" si="17"/>
        <v>1449</v>
      </c>
      <c r="J246" s="6">
        <f t="shared" si="18"/>
        <v>34.957780458383596</v>
      </c>
      <c r="K246">
        <f t="shared" si="19"/>
        <v>0.42449930161573673</v>
      </c>
    </row>
    <row r="247" spans="1:11" x14ac:dyDescent="0.25">
      <c r="A247" t="s">
        <v>245</v>
      </c>
      <c r="B247">
        <v>6028</v>
      </c>
      <c r="C247">
        <v>1311</v>
      </c>
      <c r="D247">
        <v>21.75</v>
      </c>
      <c r="E247">
        <f t="shared" si="15"/>
        <v>0.32032422695887119</v>
      </c>
      <c r="F247">
        <v>242</v>
      </c>
      <c r="G247">
        <v>4.01</v>
      </c>
      <c r="H247">
        <f t="shared" si="16"/>
        <v>7.3903002309468807E-2</v>
      </c>
      <c r="I247">
        <f t="shared" si="17"/>
        <v>1553</v>
      </c>
      <c r="J247" s="6">
        <f t="shared" si="18"/>
        <v>25.763105507631057</v>
      </c>
      <c r="K247">
        <f t="shared" si="19"/>
        <v>0.29466624006274483</v>
      </c>
    </row>
    <row r="249" spans="1:11" x14ac:dyDescent="0.25">
      <c r="A249" s="1" t="s">
        <v>96</v>
      </c>
      <c r="B249" s="2">
        <v>7423629</v>
      </c>
      <c r="C249" s="4">
        <v>655605</v>
      </c>
      <c r="D249" s="3"/>
      <c r="E249" s="3"/>
      <c r="F249" s="4">
        <v>482811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920B-7641-4C32-9C3B-B749DECE88CA}">
  <dimension ref="A1:H249"/>
  <sheetViews>
    <sheetView tabSelected="1" workbookViewId="0">
      <selection activeCell="G17" sqref="G17"/>
    </sheetView>
  </sheetViews>
  <sheetFormatPr defaultRowHeight="15" x14ac:dyDescent="0.25"/>
  <cols>
    <col min="1" max="1" width="27.42578125" bestFit="1" customWidth="1"/>
    <col min="2" max="2" width="10.140625" bestFit="1" customWidth="1"/>
    <col min="3" max="3" width="9.140625" bestFit="1" customWidth="1"/>
    <col min="4" max="4" width="8" bestFit="1" customWidth="1"/>
    <col min="5" max="5" width="14.7109375" bestFit="1" customWidth="1"/>
    <col min="6" max="6" width="16.7109375" bestFit="1" customWidth="1"/>
    <col min="7" max="7" width="12.7109375" bestFit="1" customWidth="1"/>
    <col min="8" max="8" width="14.85546875" bestFit="1" customWidth="1"/>
  </cols>
  <sheetData>
    <row r="1" spans="1:8" x14ac:dyDescent="0.25">
      <c r="A1" t="s">
        <v>246</v>
      </c>
      <c r="B1" t="s">
        <v>247</v>
      </c>
      <c r="C1" t="s">
        <v>248</v>
      </c>
      <c r="D1" s="8" t="s">
        <v>257</v>
      </c>
      <c r="E1" t="s">
        <v>258</v>
      </c>
      <c r="F1" t="s">
        <v>259</v>
      </c>
      <c r="G1" t="s">
        <v>260</v>
      </c>
      <c r="H1" t="s">
        <v>261</v>
      </c>
    </row>
    <row r="2" spans="1:8" x14ac:dyDescent="0.25">
      <c r="A2" t="s">
        <v>0</v>
      </c>
      <c r="B2">
        <v>22052</v>
      </c>
      <c r="C2">
        <v>3020</v>
      </c>
      <c r="D2">
        <v>15646</v>
      </c>
      <c r="E2">
        <f>(D2/B2)*100</f>
        <v>70.950480682024306</v>
      </c>
      <c r="F2">
        <f>(E2-MIN(E:E))/(MAX(E:E)-MIN(E:E))</f>
        <v>0.14574017861792438</v>
      </c>
      <c r="G2">
        <f>(D2/$C$249)*100</f>
        <v>0.30775240624576489</v>
      </c>
      <c r="H2">
        <f>(G2-MIN(G:G))/(MAX(G:G)-MIN(G:G))</f>
        <v>1.3696416624874254E-2</v>
      </c>
    </row>
    <row r="3" spans="1:8" x14ac:dyDescent="0.25">
      <c r="A3" t="s">
        <v>1</v>
      </c>
      <c r="B3">
        <v>17738</v>
      </c>
      <c r="C3">
        <v>1697</v>
      </c>
      <c r="D3">
        <v>12622</v>
      </c>
      <c r="E3">
        <f t="shared" ref="E3:E66" si="0">(D3/B3)*100</f>
        <v>71.157965948810471</v>
      </c>
      <c r="F3">
        <f t="shared" ref="F3:F66" si="1">(E3-MIN(E:E))/(MAX(E:E)-MIN(E:E))</f>
        <v>0.14692842759610011</v>
      </c>
      <c r="G3">
        <f t="shared" ref="G3:G66" si="2">(D3/$C$249)*100</f>
        <v>0.24827117931957332</v>
      </c>
      <c r="H3">
        <f t="shared" ref="H3:H66" si="3">(G3-MIN(G:G))/(MAX(G:G)-MIN(G:G))</f>
        <v>1.0716921345856934E-2</v>
      </c>
    </row>
    <row r="4" spans="1:8" x14ac:dyDescent="0.25">
      <c r="A4" t="s">
        <v>2</v>
      </c>
      <c r="B4">
        <v>22079</v>
      </c>
      <c r="C4">
        <v>689</v>
      </c>
      <c r="D4">
        <v>16001</v>
      </c>
      <c r="E4">
        <f t="shared" si="0"/>
        <v>72.471579328773956</v>
      </c>
      <c r="F4">
        <f t="shared" si="1"/>
        <v>0.15445137021577177</v>
      </c>
      <c r="G4">
        <f t="shared" si="2"/>
        <v>0.31473515609986474</v>
      </c>
      <c r="H4">
        <f t="shared" si="3"/>
        <v>1.4046192029653072E-2</v>
      </c>
    </row>
    <row r="5" spans="1:8" x14ac:dyDescent="0.25">
      <c r="A5" t="s">
        <v>3</v>
      </c>
      <c r="B5">
        <v>2282</v>
      </c>
      <c r="C5">
        <v>187</v>
      </c>
      <c r="D5">
        <v>2975</v>
      </c>
      <c r="E5">
        <f t="shared" si="0"/>
        <v>130.3680981595092</v>
      </c>
      <c r="F5">
        <f t="shared" si="1"/>
        <v>0.48601939143558326</v>
      </c>
      <c r="G5">
        <f t="shared" si="2"/>
        <v>5.8517410749146778E-2</v>
      </c>
      <c r="H5">
        <f t="shared" si="3"/>
        <v>1.2118978813463299E-3</v>
      </c>
    </row>
    <row r="6" spans="1:8" x14ac:dyDescent="0.25">
      <c r="A6" t="s">
        <v>4</v>
      </c>
      <c r="B6">
        <v>4979</v>
      </c>
      <c r="C6">
        <v>894</v>
      </c>
      <c r="D6">
        <v>5109</v>
      </c>
      <c r="E6">
        <f t="shared" si="0"/>
        <v>102.61096605744125</v>
      </c>
      <c r="F6">
        <f t="shared" si="1"/>
        <v>0.32705685704338028</v>
      </c>
      <c r="G6">
        <f t="shared" si="2"/>
        <v>0.10049258874534148</v>
      </c>
      <c r="H6">
        <f t="shared" si="3"/>
        <v>3.3144914413406937E-3</v>
      </c>
    </row>
    <row r="7" spans="1:8" x14ac:dyDescent="0.25">
      <c r="A7" t="s">
        <v>5</v>
      </c>
      <c r="B7">
        <v>1843</v>
      </c>
      <c r="C7">
        <v>598</v>
      </c>
      <c r="D7">
        <v>2637</v>
      </c>
      <c r="E7">
        <f t="shared" si="0"/>
        <v>143.08193163320672</v>
      </c>
      <c r="F7">
        <f t="shared" si="1"/>
        <v>0.55883034263139553</v>
      </c>
      <c r="G7">
        <f t="shared" si="2"/>
        <v>5.1869046099327742E-2</v>
      </c>
      <c r="H7">
        <f t="shared" si="3"/>
        <v>8.7887228468367957E-4</v>
      </c>
    </row>
    <row r="8" spans="1:8" x14ac:dyDescent="0.25">
      <c r="A8" t="s">
        <v>6</v>
      </c>
      <c r="B8">
        <v>245352</v>
      </c>
      <c r="C8">
        <v>48766</v>
      </c>
      <c r="D8">
        <v>125151</v>
      </c>
      <c r="E8">
        <f t="shared" si="0"/>
        <v>51.008754768658903</v>
      </c>
      <c r="F8">
        <f t="shared" si="1"/>
        <v>3.1535754339269743E-2</v>
      </c>
      <c r="G8">
        <f t="shared" si="2"/>
        <v>2.4616848647618381</v>
      </c>
      <c r="H8">
        <f t="shared" si="3"/>
        <v>0.12158981296376031</v>
      </c>
    </row>
    <row r="9" spans="1:8" x14ac:dyDescent="0.25">
      <c r="A9" t="s">
        <v>7</v>
      </c>
      <c r="B9">
        <v>28244</v>
      </c>
      <c r="C9">
        <v>9296</v>
      </c>
      <c r="D9">
        <v>22018</v>
      </c>
      <c r="E9">
        <f t="shared" si="0"/>
        <v>77.956380116130859</v>
      </c>
      <c r="F9">
        <f t="shared" si="1"/>
        <v>0.18586231824125771</v>
      </c>
      <c r="G9">
        <f t="shared" si="2"/>
        <v>0.43308784869738276</v>
      </c>
      <c r="H9">
        <f t="shared" si="3"/>
        <v>1.9974638819946461E-2</v>
      </c>
    </row>
    <row r="10" spans="1:8" x14ac:dyDescent="0.25">
      <c r="A10" t="s">
        <v>8</v>
      </c>
      <c r="B10">
        <v>1977</v>
      </c>
      <c r="C10">
        <v>113</v>
      </c>
      <c r="D10">
        <v>2170</v>
      </c>
      <c r="E10">
        <f t="shared" si="0"/>
        <v>109.7622660596864</v>
      </c>
      <c r="F10">
        <f t="shared" si="1"/>
        <v>0.36801169230430275</v>
      </c>
      <c r="G10">
        <f t="shared" si="2"/>
        <v>4.268328784055412E-2</v>
      </c>
      <c r="H10">
        <f t="shared" si="3"/>
        <v>4.1874520290421967E-4</v>
      </c>
    </row>
    <row r="11" spans="1:8" x14ac:dyDescent="0.25">
      <c r="A11" t="s">
        <v>9</v>
      </c>
      <c r="B11">
        <v>6487</v>
      </c>
      <c r="C11">
        <v>1231</v>
      </c>
      <c r="D11">
        <v>6425</v>
      </c>
      <c r="E11">
        <f t="shared" si="0"/>
        <v>99.044242330815479</v>
      </c>
      <c r="F11">
        <f t="shared" si="1"/>
        <v>0.30663055936333306</v>
      </c>
      <c r="G11">
        <f t="shared" si="2"/>
        <v>0.12637793750025816</v>
      </c>
      <c r="H11">
        <f t="shared" si="3"/>
        <v>4.6111236460982304E-3</v>
      </c>
    </row>
    <row r="12" spans="1:8" x14ac:dyDescent="0.25">
      <c r="A12" t="s">
        <v>10</v>
      </c>
      <c r="B12">
        <v>11182</v>
      </c>
      <c r="C12">
        <v>2379</v>
      </c>
      <c r="D12">
        <v>7749</v>
      </c>
      <c r="E12">
        <f t="shared" si="0"/>
        <v>69.298873189053836</v>
      </c>
      <c r="F12">
        <f t="shared" si="1"/>
        <v>0.13628157489984866</v>
      </c>
      <c r="G12">
        <f t="shared" si="2"/>
        <v>0.15242064399836583</v>
      </c>
      <c r="H12">
        <f t="shared" si="3"/>
        <v>5.9156381134986696E-3</v>
      </c>
    </row>
    <row r="13" spans="1:8" x14ac:dyDescent="0.25">
      <c r="A13" t="s">
        <v>11</v>
      </c>
      <c r="B13">
        <v>8619</v>
      </c>
      <c r="C13">
        <v>1067</v>
      </c>
      <c r="D13">
        <v>6810</v>
      </c>
      <c r="E13">
        <f t="shared" si="0"/>
        <v>79.011486251305257</v>
      </c>
      <c r="F13">
        <f t="shared" si="1"/>
        <v>0.1919048137225394</v>
      </c>
      <c r="G13">
        <f t="shared" si="2"/>
        <v>0.13395077889132423</v>
      </c>
      <c r="H13">
        <f t="shared" si="3"/>
        <v>4.9904575357879359E-3</v>
      </c>
    </row>
    <row r="14" spans="1:8" x14ac:dyDescent="0.25">
      <c r="A14" t="s">
        <v>12</v>
      </c>
      <c r="B14">
        <v>3267</v>
      </c>
      <c r="C14">
        <v>240</v>
      </c>
      <c r="D14">
        <v>2984</v>
      </c>
      <c r="E14">
        <f t="shared" si="0"/>
        <v>91.337618610345885</v>
      </c>
      <c r="F14">
        <f t="shared" si="1"/>
        <v>0.26249543640797396</v>
      </c>
      <c r="G14">
        <f t="shared" si="2"/>
        <v>5.8694438210236628E-2</v>
      </c>
      <c r="H14">
        <f t="shared" si="3"/>
        <v>1.2207654268195955E-3</v>
      </c>
    </row>
    <row r="15" spans="1:8" x14ac:dyDescent="0.25">
      <c r="A15" t="s">
        <v>13</v>
      </c>
      <c r="B15">
        <v>5260</v>
      </c>
      <c r="C15">
        <v>657</v>
      </c>
      <c r="D15">
        <v>5600</v>
      </c>
      <c r="E15">
        <f t="shared" si="0"/>
        <v>106.46387832699619</v>
      </c>
      <c r="F15">
        <f t="shared" si="1"/>
        <v>0.34912213010210669</v>
      </c>
      <c r="G15">
        <f t="shared" si="2"/>
        <v>0.11015042023368804</v>
      </c>
      <c r="H15">
        <f t="shared" si="3"/>
        <v>3.7982653110488619E-3</v>
      </c>
    </row>
    <row r="16" spans="1:8" x14ac:dyDescent="0.25">
      <c r="A16" t="s">
        <v>14</v>
      </c>
      <c r="B16">
        <v>2906</v>
      </c>
      <c r="C16">
        <v>709</v>
      </c>
      <c r="D16">
        <v>3875</v>
      </c>
      <c r="E16">
        <f t="shared" si="0"/>
        <v>133.34480385409498</v>
      </c>
      <c r="F16">
        <f t="shared" si="1"/>
        <v>0.50306671028722372</v>
      </c>
      <c r="G16">
        <f t="shared" si="2"/>
        <v>7.6220156858132354E-2</v>
      </c>
      <c r="H16">
        <f t="shared" si="3"/>
        <v>2.0986524286729126E-3</v>
      </c>
    </row>
    <row r="17" spans="1:8" x14ac:dyDescent="0.25">
      <c r="A17" t="s">
        <v>15</v>
      </c>
      <c r="B17">
        <v>420300</v>
      </c>
      <c r="C17">
        <v>1716</v>
      </c>
      <c r="D17">
        <v>288082</v>
      </c>
      <c r="E17">
        <f t="shared" si="0"/>
        <v>68.541993813942426</v>
      </c>
      <c r="F17">
        <f t="shared" si="1"/>
        <v>0.13194699655600264</v>
      </c>
      <c r="G17">
        <f t="shared" si="2"/>
        <v>5.6664916717430929</v>
      </c>
      <c r="H17">
        <f t="shared" si="3"/>
        <v>0.28212292979761305</v>
      </c>
    </row>
    <row r="18" spans="1:8" x14ac:dyDescent="0.25">
      <c r="A18" t="s">
        <v>16</v>
      </c>
      <c r="B18">
        <v>913</v>
      </c>
      <c r="C18">
        <v>137</v>
      </c>
      <c r="D18">
        <v>1745</v>
      </c>
      <c r="E18">
        <f t="shared" si="0"/>
        <v>191.12814895947426</v>
      </c>
      <c r="F18">
        <f t="shared" si="1"/>
        <v>0.83398659602448466</v>
      </c>
      <c r="G18">
        <f t="shared" si="2"/>
        <v>3.4323657733533151E-2</v>
      </c>
      <c r="H18">
        <f t="shared" si="3"/>
        <v>0</v>
      </c>
    </row>
    <row r="19" spans="1:8" x14ac:dyDescent="0.25">
      <c r="A19" t="s">
        <v>17</v>
      </c>
      <c r="B19">
        <v>18306</v>
      </c>
      <c r="C19">
        <v>1493</v>
      </c>
      <c r="D19">
        <v>15193</v>
      </c>
      <c r="E19">
        <f t="shared" si="0"/>
        <v>82.994646563968104</v>
      </c>
      <c r="F19">
        <f t="shared" si="1"/>
        <v>0.21471600530613075</v>
      </c>
      <c r="G19">
        <f t="shared" si="2"/>
        <v>0.29884202403757548</v>
      </c>
      <c r="H19">
        <f t="shared" si="3"/>
        <v>1.3250083502719875E-2</v>
      </c>
    </row>
    <row r="20" spans="1:8" x14ac:dyDescent="0.25">
      <c r="A20" t="s">
        <v>18</v>
      </c>
      <c r="B20">
        <v>556021</v>
      </c>
      <c r="C20">
        <v>15091</v>
      </c>
      <c r="D20">
        <v>341195</v>
      </c>
      <c r="E20">
        <f t="shared" si="0"/>
        <v>61.363689500936111</v>
      </c>
      <c r="F20">
        <f t="shared" si="1"/>
        <v>9.0837510099044352E-2</v>
      </c>
      <c r="G20">
        <f t="shared" si="2"/>
        <v>6.711209398505928</v>
      </c>
      <c r="H20">
        <f t="shared" si="3"/>
        <v>0.33445425676667617</v>
      </c>
    </row>
    <row r="21" spans="1:8" x14ac:dyDescent="0.25">
      <c r="A21" t="s">
        <v>19</v>
      </c>
      <c r="B21">
        <v>3045</v>
      </c>
      <c r="C21">
        <v>111</v>
      </c>
      <c r="D21">
        <v>3442</v>
      </c>
      <c r="E21">
        <f t="shared" si="0"/>
        <v>113.03776683087028</v>
      </c>
      <c r="F21">
        <f t="shared" si="1"/>
        <v>0.38677018298973687</v>
      </c>
      <c r="G21">
        <f t="shared" si="2"/>
        <v>6.7703169007920408E-2</v>
      </c>
      <c r="H21">
        <f t="shared" si="3"/>
        <v>1.6720249631257901E-3</v>
      </c>
    </row>
    <row r="22" spans="1:8" x14ac:dyDescent="0.25">
      <c r="A22" t="s">
        <v>20</v>
      </c>
      <c r="B22">
        <v>4488</v>
      </c>
      <c r="C22">
        <v>764</v>
      </c>
      <c r="D22">
        <v>3467</v>
      </c>
      <c r="E22">
        <f t="shared" si="0"/>
        <v>77.250445632798574</v>
      </c>
      <c r="F22">
        <f t="shared" si="1"/>
        <v>0.181819496591935</v>
      </c>
      <c r="G22">
        <f t="shared" si="2"/>
        <v>6.8194911955392221E-2</v>
      </c>
      <c r="H22">
        <f t="shared" si="3"/>
        <v>1.6966570338848613E-3</v>
      </c>
    </row>
    <row r="23" spans="1:8" x14ac:dyDescent="0.25">
      <c r="A23" t="s">
        <v>21</v>
      </c>
      <c r="B23">
        <v>3840</v>
      </c>
      <c r="C23">
        <v>494</v>
      </c>
      <c r="D23">
        <v>4180</v>
      </c>
      <c r="E23">
        <f t="shared" si="0"/>
        <v>108.85416666666667</v>
      </c>
      <c r="F23">
        <f t="shared" si="1"/>
        <v>0.36281109087099828</v>
      </c>
      <c r="G23">
        <f t="shared" si="2"/>
        <v>8.2219420817288572E-2</v>
      </c>
      <c r="H23">
        <f t="shared" si="3"/>
        <v>2.3991636919335874E-3</v>
      </c>
    </row>
    <row r="24" spans="1:8" x14ac:dyDescent="0.25">
      <c r="A24" t="s">
        <v>22</v>
      </c>
      <c r="B24">
        <v>18601</v>
      </c>
      <c r="C24">
        <v>2813</v>
      </c>
      <c r="D24">
        <v>13951</v>
      </c>
      <c r="E24">
        <f t="shared" si="0"/>
        <v>75.001344013762704</v>
      </c>
      <c r="F24">
        <f t="shared" si="1"/>
        <v>0.16893909914478977</v>
      </c>
      <c r="G24">
        <f t="shared" si="2"/>
        <v>0.27441223440717538</v>
      </c>
      <c r="H24">
        <f t="shared" si="3"/>
        <v>1.2026362227409189E-2</v>
      </c>
    </row>
    <row r="25" spans="1:8" x14ac:dyDescent="0.25">
      <c r="A25" t="s">
        <v>23</v>
      </c>
      <c r="B25">
        <v>12806</v>
      </c>
      <c r="C25">
        <v>3940</v>
      </c>
      <c r="D25">
        <v>10220</v>
      </c>
      <c r="E25">
        <f t="shared" si="0"/>
        <v>79.806340777760425</v>
      </c>
      <c r="F25">
        <f t="shared" si="1"/>
        <v>0.19645687225415601</v>
      </c>
      <c r="G25">
        <f t="shared" si="2"/>
        <v>0.20102451692648068</v>
      </c>
      <c r="H25">
        <f t="shared" si="3"/>
        <v>8.3502719873253198E-3</v>
      </c>
    </row>
    <row r="26" spans="1:8" x14ac:dyDescent="0.25">
      <c r="A26" t="s">
        <v>24</v>
      </c>
      <c r="B26">
        <v>7152</v>
      </c>
      <c r="C26">
        <v>1674</v>
      </c>
      <c r="D26">
        <v>6018</v>
      </c>
      <c r="E26">
        <f t="shared" si="0"/>
        <v>84.144295302013433</v>
      </c>
      <c r="F26">
        <f t="shared" si="1"/>
        <v>0.22129993755058866</v>
      </c>
      <c r="G26">
        <f t="shared" si="2"/>
        <v>0.11837236231541691</v>
      </c>
      <c r="H26">
        <f t="shared" si="3"/>
        <v>4.2101135341405431E-3</v>
      </c>
    </row>
    <row r="27" spans="1:8" x14ac:dyDescent="0.25">
      <c r="A27" t="s">
        <v>25</v>
      </c>
      <c r="B27">
        <v>2904</v>
      </c>
      <c r="C27">
        <v>566</v>
      </c>
      <c r="D27">
        <v>3632</v>
      </c>
      <c r="E27">
        <f t="shared" si="0"/>
        <v>125.06887052341598</v>
      </c>
      <c r="F27">
        <f t="shared" si="1"/>
        <v>0.45567120372451125</v>
      </c>
      <c r="G27">
        <f t="shared" si="2"/>
        <v>7.1440415408706257E-2</v>
      </c>
      <c r="H27">
        <f t="shared" si="3"/>
        <v>1.8592287008947356E-3</v>
      </c>
    </row>
    <row r="28" spans="1:8" x14ac:dyDescent="0.25">
      <c r="A28" t="s">
        <v>26</v>
      </c>
      <c r="B28">
        <v>8570</v>
      </c>
      <c r="C28">
        <v>38</v>
      </c>
      <c r="D28">
        <v>7415</v>
      </c>
      <c r="E28">
        <f t="shared" si="0"/>
        <v>86.522753792298715</v>
      </c>
      <c r="F28">
        <f t="shared" si="1"/>
        <v>0.23492114986359391</v>
      </c>
      <c r="G28">
        <f t="shared" si="2"/>
        <v>0.14585095822014232</v>
      </c>
      <c r="H28">
        <f t="shared" si="3"/>
        <v>5.5865536481574723E-3</v>
      </c>
    </row>
    <row r="29" spans="1:8" x14ac:dyDescent="0.25">
      <c r="A29" t="s">
        <v>27</v>
      </c>
      <c r="B29">
        <v>3237</v>
      </c>
      <c r="C29">
        <v>171</v>
      </c>
      <c r="D29">
        <v>3308</v>
      </c>
      <c r="E29">
        <f t="shared" si="0"/>
        <v>102.19338894037688</v>
      </c>
      <c r="F29">
        <f t="shared" si="1"/>
        <v>0.32466543142387994</v>
      </c>
      <c r="G29">
        <f t="shared" si="2"/>
        <v>6.5067426809471446E-2</v>
      </c>
      <c r="H29">
        <f t="shared" si="3"/>
        <v>1.5399970638571656E-3</v>
      </c>
    </row>
    <row r="30" spans="1:8" x14ac:dyDescent="0.25">
      <c r="A30" t="s">
        <v>28</v>
      </c>
      <c r="B30">
        <v>2993</v>
      </c>
      <c r="C30">
        <v>652</v>
      </c>
      <c r="D30">
        <v>4475</v>
      </c>
      <c r="E30">
        <f t="shared" si="0"/>
        <v>149.51553625125294</v>
      </c>
      <c r="F30">
        <f t="shared" si="1"/>
        <v>0.59567500264891282</v>
      </c>
      <c r="G30">
        <f t="shared" si="2"/>
        <v>8.8021987597456081E-2</v>
      </c>
      <c r="H30">
        <f t="shared" si="3"/>
        <v>2.6898221268906349E-3</v>
      </c>
    </row>
    <row r="31" spans="1:8" x14ac:dyDescent="0.25">
      <c r="A31" t="s">
        <v>29</v>
      </c>
      <c r="B31">
        <v>3306</v>
      </c>
      <c r="C31">
        <v>896</v>
      </c>
      <c r="D31">
        <v>3347</v>
      </c>
      <c r="E31">
        <f t="shared" si="0"/>
        <v>101.24016938898973</v>
      </c>
      <c r="F31">
        <f t="shared" si="1"/>
        <v>0.31920643100685153</v>
      </c>
      <c r="G31">
        <f t="shared" si="2"/>
        <v>6.5834545807527484E-2</v>
      </c>
      <c r="H31">
        <f t="shared" si="3"/>
        <v>1.5784230942413175E-3</v>
      </c>
    </row>
    <row r="32" spans="1:8" x14ac:dyDescent="0.25">
      <c r="A32" t="s">
        <v>30</v>
      </c>
      <c r="B32">
        <v>10853</v>
      </c>
      <c r="C32">
        <v>1628</v>
      </c>
      <c r="D32">
        <v>10024</v>
      </c>
      <c r="E32">
        <f t="shared" si="0"/>
        <v>92.361559015940301</v>
      </c>
      <c r="F32">
        <f t="shared" si="1"/>
        <v>0.26835944863161942</v>
      </c>
      <c r="G32">
        <f t="shared" si="2"/>
        <v>0.19716925221830162</v>
      </c>
      <c r="H32">
        <f t="shared" si="3"/>
        <v>8.1571565525741987E-3</v>
      </c>
    </row>
    <row r="33" spans="1:8" x14ac:dyDescent="0.25">
      <c r="A33" t="s">
        <v>31</v>
      </c>
      <c r="B33">
        <v>37305</v>
      </c>
      <c r="C33">
        <v>5854</v>
      </c>
      <c r="D33">
        <v>24248</v>
      </c>
      <c r="E33">
        <f t="shared" si="0"/>
        <v>64.99932984854577</v>
      </c>
      <c r="F33">
        <f t="shared" si="1"/>
        <v>0.11165848690851539</v>
      </c>
      <c r="G33">
        <f t="shared" si="2"/>
        <v>0.47695131961186926</v>
      </c>
      <c r="H33">
        <f t="shared" si="3"/>
        <v>2.2171819531655659E-2</v>
      </c>
    </row>
    <row r="34" spans="1:8" x14ac:dyDescent="0.25">
      <c r="A34" t="s">
        <v>32</v>
      </c>
      <c r="B34">
        <v>7775</v>
      </c>
      <c r="C34">
        <v>1134</v>
      </c>
      <c r="D34">
        <v>7602</v>
      </c>
      <c r="E34">
        <f t="shared" si="0"/>
        <v>97.774919614147919</v>
      </c>
      <c r="F34">
        <f t="shared" si="1"/>
        <v>0.29936126528564849</v>
      </c>
      <c r="G34">
        <f t="shared" si="2"/>
        <v>0.14952919546723153</v>
      </c>
      <c r="H34">
        <f t="shared" si="3"/>
        <v>5.7708015374353279E-3</v>
      </c>
    </row>
    <row r="35" spans="1:8" x14ac:dyDescent="0.25">
      <c r="A35" t="s">
        <v>33</v>
      </c>
      <c r="B35">
        <v>24925</v>
      </c>
      <c r="C35">
        <v>1401</v>
      </c>
      <c r="D35">
        <v>18173</v>
      </c>
      <c r="E35">
        <f t="shared" si="0"/>
        <v>72.910732196589763</v>
      </c>
      <c r="F35">
        <f t="shared" si="1"/>
        <v>0.15696635816902663</v>
      </c>
      <c r="G35">
        <f t="shared" si="2"/>
        <v>0.35745778337621659</v>
      </c>
      <c r="H35">
        <f t="shared" si="3"/>
        <v>1.6186226337201227E-2</v>
      </c>
    </row>
    <row r="36" spans="1:8" x14ac:dyDescent="0.25">
      <c r="A36" t="s">
        <v>34</v>
      </c>
      <c r="B36">
        <v>11025</v>
      </c>
      <c r="C36">
        <v>725</v>
      </c>
      <c r="D36">
        <v>7881</v>
      </c>
      <c r="E36">
        <f t="shared" si="0"/>
        <v>71.482993197278915</v>
      </c>
      <c r="F36">
        <f t="shared" si="1"/>
        <v>0.1487898286577472</v>
      </c>
      <c r="G36">
        <f t="shared" si="2"/>
        <v>0.15501704676101707</v>
      </c>
      <c r="H36">
        <f t="shared" si="3"/>
        <v>6.045695447106569E-3</v>
      </c>
    </row>
    <row r="37" spans="1:8" x14ac:dyDescent="0.25">
      <c r="A37" t="s">
        <v>35</v>
      </c>
      <c r="B37">
        <v>3289</v>
      </c>
      <c r="C37">
        <v>725</v>
      </c>
      <c r="D37">
        <v>3742</v>
      </c>
      <c r="E37">
        <f t="shared" si="0"/>
        <v>113.77318333840074</v>
      </c>
      <c r="F37">
        <f t="shared" si="1"/>
        <v>0.39098184547133003</v>
      </c>
      <c r="G37">
        <f t="shared" si="2"/>
        <v>7.3604084377582257E-2</v>
      </c>
      <c r="H37">
        <f t="shared" si="3"/>
        <v>1.9676098122346506E-3</v>
      </c>
    </row>
    <row r="38" spans="1:8" x14ac:dyDescent="0.25">
      <c r="A38" t="s">
        <v>36</v>
      </c>
      <c r="B38">
        <v>4201</v>
      </c>
      <c r="C38">
        <v>528</v>
      </c>
      <c r="D38">
        <v>3894</v>
      </c>
      <c r="E38">
        <f t="shared" si="0"/>
        <v>92.692216139014519</v>
      </c>
      <c r="F38">
        <f t="shared" si="1"/>
        <v>0.27025309146566406</v>
      </c>
      <c r="G38">
        <f t="shared" si="2"/>
        <v>7.6593881498210947E-2</v>
      </c>
      <c r="H38">
        <f t="shared" si="3"/>
        <v>2.1173728024498073E-3</v>
      </c>
    </row>
    <row r="39" spans="1:8" x14ac:dyDescent="0.25">
      <c r="A39" t="s">
        <v>37</v>
      </c>
      <c r="B39">
        <v>5798</v>
      </c>
      <c r="C39">
        <v>464</v>
      </c>
      <c r="D39">
        <v>5214</v>
      </c>
      <c r="E39">
        <f t="shared" si="0"/>
        <v>89.927561228009651</v>
      </c>
      <c r="F39">
        <f t="shared" si="1"/>
        <v>0.25442016788562166</v>
      </c>
      <c r="G39">
        <f t="shared" si="2"/>
        <v>0.10255790912472314</v>
      </c>
      <c r="H39">
        <f t="shared" si="3"/>
        <v>3.4179461385287963E-3</v>
      </c>
    </row>
    <row r="40" spans="1:8" x14ac:dyDescent="0.25">
      <c r="A40" t="s">
        <v>38</v>
      </c>
      <c r="B40">
        <v>10930</v>
      </c>
      <c r="C40">
        <v>293</v>
      </c>
      <c r="D40">
        <v>8710</v>
      </c>
      <c r="E40">
        <f t="shared" si="0"/>
        <v>79.688929551692596</v>
      </c>
      <c r="F40">
        <f t="shared" si="1"/>
        <v>0.19578446899602375</v>
      </c>
      <c r="G40">
        <f t="shared" si="2"/>
        <v>0.17132324289918266</v>
      </c>
      <c r="H40">
        <f t="shared" si="3"/>
        <v>6.8624949134773877E-3</v>
      </c>
    </row>
    <row r="41" spans="1:8" x14ac:dyDescent="0.25">
      <c r="A41" t="s">
        <v>39</v>
      </c>
      <c r="B41">
        <v>2800</v>
      </c>
      <c r="C41">
        <v>579</v>
      </c>
      <c r="D41">
        <v>3508</v>
      </c>
      <c r="E41">
        <f t="shared" si="0"/>
        <v>125.28571428571429</v>
      </c>
      <c r="F41">
        <f t="shared" si="1"/>
        <v>0.45691304794297471</v>
      </c>
      <c r="G41">
        <f t="shared" si="2"/>
        <v>6.9001370389246017E-2</v>
      </c>
      <c r="H41">
        <f t="shared" si="3"/>
        <v>1.7370536299297396E-3</v>
      </c>
    </row>
    <row r="42" spans="1:8" x14ac:dyDescent="0.25">
      <c r="A42" t="s">
        <v>40</v>
      </c>
      <c r="B42">
        <v>3140</v>
      </c>
      <c r="C42">
        <v>962</v>
      </c>
      <c r="D42">
        <v>3521</v>
      </c>
      <c r="E42">
        <f t="shared" si="0"/>
        <v>112.13375796178345</v>
      </c>
      <c r="F42">
        <f t="shared" si="1"/>
        <v>0.38159300760956255</v>
      </c>
      <c r="G42">
        <f t="shared" si="2"/>
        <v>6.9257076721931363E-2</v>
      </c>
      <c r="H42">
        <f t="shared" si="3"/>
        <v>1.7498623067244568E-3</v>
      </c>
    </row>
    <row r="43" spans="1:8" x14ac:dyDescent="0.25">
      <c r="A43" t="s">
        <v>41</v>
      </c>
      <c r="B43">
        <v>7689</v>
      </c>
      <c r="C43">
        <v>1993</v>
      </c>
      <c r="D43">
        <v>7465</v>
      </c>
      <c r="E43">
        <f t="shared" si="0"/>
        <v>97.086747301339571</v>
      </c>
      <c r="F43">
        <f t="shared" si="1"/>
        <v>0.29542016594799719</v>
      </c>
      <c r="G43">
        <f t="shared" si="2"/>
        <v>0.14683444411508595</v>
      </c>
      <c r="H43">
        <f t="shared" si="3"/>
        <v>5.6358177896756153E-3</v>
      </c>
    </row>
    <row r="44" spans="1:8" x14ac:dyDescent="0.25">
      <c r="A44" t="s">
        <v>42</v>
      </c>
      <c r="B44">
        <v>11854</v>
      </c>
      <c r="C44">
        <v>1414</v>
      </c>
      <c r="D44">
        <v>7750</v>
      </c>
      <c r="E44">
        <f t="shared" si="0"/>
        <v>65.378775097013659</v>
      </c>
      <c r="F44">
        <f t="shared" si="1"/>
        <v>0.11383153483499915</v>
      </c>
      <c r="G44">
        <f t="shared" si="2"/>
        <v>0.15244031371626471</v>
      </c>
      <c r="H44">
        <f t="shared" si="3"/>
        <v>5.9166233963290323E-3</v>
      </c>
    </row>
    <row r="45" spans="1:8" x14ac:dyDescent="0.25">
      <c r="A45" t="s">
        <v>43</v>
      </c>
      <c r="B45">
        <v>1417</v>
      </c>
      <c r="C45">
        <v>406</v>
      </c>
      <c r="D45">
        <v>2074</v>
      </c>
      <c r="E45">
        <f t="shared" si="0"/>
        <v>146.36556104446012</v>
      </c>
      <c r="F45">
        <f t="shared" si="1"/>
        <v>0.57763538528847647</v>
      </c>
      <c r="G45">
        <f t="shared" si="2"/>
        <v>4.0794994922262323E-2</v>
      </c>
      <c r="H45">
        <f t="shared" si="3"/>
        <v>3.2415805118938412E-4</v>
      </c>
    </row>
    <row r="46" spans="1:8" x14ac:dyDescent="0.25">
      <c r="A46" t="s">
        <v>44</v>
      </c>
      <c r="B46">
        <v>7762</v>
      </c>
      <c r="C46">
        <v>395</v>
      </c>
      <c r="D46">
        <v>7241</v>
      </c>
      <c r="E46">
        <f t="shared" si="0"/>
        <v>93.287812419479522</v>
      </c>
      <c r="F46">
        <f t="shared" si="1"/>
        <v>0.27366401640809473</v>
      </c>
      <c r="G46">
        <f t="shared" si="2"/>
        <v>0.14242842730573843</v>
      </c>
      <c r="H46">
        <f t="shared" si="3"/>
        <v>5.4151144356743321E-3</v>
      </c>
    </row>
    <row r="47" spans="1:8" x14ac:dyDescent="0.25">
      <c r="A47" t="s">
        <v>45</v>
      </c>
      <c r="B47">
        <v>14034</v>
      </c>
      <c r="C47">
        <v>1272</v>
      </c>
      <c r="D47">
        <v>10831</v>
      </c>
      <c r="E47">
        <f t="shared" si="0"/>
        <v>77.176856206355993</v>
      </c>
      <c r="F47">
        <f t="shared" si="1"/>
        <v>0.18139805673681</v>
      </c>
      <c r="G47">
        <f t="shared" si="2"/>
        <v>0.213042714562692</v>
      </c>
      <c r="H47">
        <f t="shared" si="3"/>
        <v>8.9522797966770339E-3</v>
      </c>
    </row>
    <row r="48" spans="1:8" x14ac:dyDescent="0.25">
      <c r="A48" t="s">
        <v>46</v>
      </c>
      <c r="B48">
        <v>16628</v>
      </c>
      <c r="C48">
        <v>635</v>
      </c>
      <c r="D48">
        <v>13219</v>
      </c>
      <c r="E48">
        <f t="shared" si="0"/>
        <v>79.498436372383935</v>
      </c>
      <c r="F48">
        <f t="shared" si="1"/>
        <v>0.19469353213496823</v>
      </c>
      <c r="G48">
        <f t="shared" si="2"/>
        <v>0.26001400090520044</v>
      </c>
      <c r="H48">
        <f t="shared" si="3"/>
        <v>1.1305135195583568E-2</v>
      </c>
    </row>
    <row r="49" spans="1:8" x14ac:dyDescent="0.25">
      <c r="A49" t="s">
        <v>47</v>
      </c>
      <c r="B49">
        <v>106820</v>
      </c>
      <c r="C49">
        <v>7144</v>
      </c>
      <c r="D49">
        <v>68346</v>
      </c>
      <c r="E49">
        <f t="shared" si="0"/>
        <v>63.982400299569363</v>
      </c>
      <c r="F49">
        <f t="shared" si="1"/>
        <v>0.10583462521382807</v>
      </c>
      <c r="G49">
        <f t="shared" si="2"/>
        <v>1.3443465395163647</v>
      </c>
      <c r="H49">
        <f t="shared" si="3"/>
        <v>6.562082178499748E-2</v>
      </c>
    </row>
    <row r="50" spans="1:8" x14ac:dyDescent="0.25">
      <c r="A50" t="s">
        <v>48</v>
      </c>
      <c r="B50">
        <v>4819</v>
      </c>
      <c r="C50">
        <v>439</v>
      </c>
      <c r="D50">
        <v>4302</v>
      </c>
      <c r="E50">
        <f t="shared" si="0"/>
        <v>89.271633118904333</v>
      </c>
      <c r="F50">
        <f t="shared" si="1"/>
        <v>0.25066372812739829</v>
      </c>
      <c r="G50">
        <f t="shared" si="2"/>
        <v>8.4619126400951067E-2</v>
      </c>
      <c r="H50">
        <f t="shared" si="3"/>
        <v>2.5193681972378577E-3</v>
      </c>
    </row>
    <row r="51" spans="1:8" x14ac:dyDescent="0.25">
      <c r="A51" t="s">
        <v>49</v>
      </c>
      <c r="B51">
        <v>3879</v>
      </c>
      <c r="C51">
        <v>963</v>
      </c>
      <c r="D51">
        <v>4046</v>
      </c>
      <c r="E51">
        <f t="shared" si="0"/>
        <v>104.30523330755351</v>
      </c>
      <c r="F51">
        <f t="shared" si="1"/>
        <v>0.33675976925438239</v>
      </c>
      <c r="G51">
        <f t="shared" si="2"/>
        <v>7.9583678618839609E-2</v>
      </c>
      <c r="H51">
        <f t="shared" si="3"/>
        <v>2.2671357926649632E-3</v>
      </c>
    </row>
    <row r="52" spans="1:8" x14ac:dyDescent="0.25">
      <c r="A52" t="s">
        <v>50</v>
      </c>
      <c r="B52">
        <v>3760</v>
      </c>
      <c r="C52">
        <v>1162</v>
      </c>
      <c r="D52">
        <v>3779</v>
      </c>
      <c r="E52">
        <f t="shared" si="0"/>
        <v>100.50531914893617</v>
      </c>
      <c r="F52">
        <f t="shared" si="1"/>
        <v>0.31499801148684897</v>
      </c>
      <c r="G52">
        <f t="shared" si="2"/>
        <v>7.4331863939840565E-2</v>
      </c>
      <c r="H52">
        <f t="shared" si="3"/>
        <v>2.0040652769580773E-3</v>
      </c>
    </row>
    <row r="53" spans="1:8" x14ac:dyDescent="0.25">
      <c r="A53" t="s">
        <v>51</v>
      </c>
      <c r="B53">
        <v>12983</v>
      </c>
      <c r="C53">
        <v>792</v>
      </c>
      <c r="D53">
        <v>9200</v>
      </c>
      <c r="E53">
        <f t="shared" si="0"/>
        <v>70.861896325964722</v>
      </c>
      <c r="F53">
        <f t="shared" si="1"/>
        <v>0.14523286418446804</v>
      </c>
      <c r="G53">
        <f t="shared" si="2"/>
        <v>0.18096140466963037</v>
      </c>
      <c r="H53">
        <f t="shared" si="3"/>
        <v>7.3452835003551941E-3</v>
      </c>
    </row>
    <row r="54" spans="1:8" x14ac:dyDescent="0.25">
      <c r="A54" t="s">
        <v>52</v>
      </c>
      <c r="B54">
        <v>7807</v>
      </c>
      <c r="C54">
        <v>1083</v>
      </c>
      <c r="D54">
        <v>5831</v>
      </c>
      <c r="E54">
        <f t="shared" si="0"/>
        <v>74.689381324452427</v>
      </c>
      <c r="F54">
        <f t="shared" si="1"/>
        <v>0.16715251760797192</v>
      </c>
      <c r="G54">
        <f t="shared" si="2"/>
        <v>0.1146941250683277</v>
      </c>
      <c r="H54">
        <f t="shared" si="3"/>
        <v>4.0258656448626867E-3</v>
      </c>
    </row>
    <row r="55" spans="1:8" x14ac:dyDescent="0.25">
      <c r="A55" t="s">
        <v>53</v>
      </c>
      <c r="B55">
        <v>8579</v>
      </c>
      <c r="C55">
        <v>2859</v>
      </c>
      <c r="D55">
        <v>6779</v>
      </c>
      <c r="E55">
        <f t="shared" si="0"/>
        <v>79.018533628628035</v>
      </c>
      <c r="F55">
        <f t="shared" si="1"/>
        <v>0.19194517340220396</v>
      </c>
      <c r="G55">
        <f t="shared" si="2"/>
        <v>0.13334101763645917</v>
      </c>
      <c r="H55">
        <f t="shared" si="3"/>
        <v>4.9599137680466868E-3</v>
      </c>
    </row>
    <row r="56" spans="1:8" x14ac:dyDescent="0.25">
      <c r="A56" t="s">
        <v>54</v>
      </c>
      <c r="B56">
        <v>18227</v>
      </c>
      <c r="C56">
        <v>4611</v>
      </c>
      <c r="D56">
        <v>14949</v>
      </c>
      <c r="E56">
        <f t="shared" si="0"/>
        <v>82.015691007845504</v>
      </c>
      <c r="F56">
        <f t="shared" si="1"/>
        <v>0.20910961716464896</v>
      </c>
      <c r="G56">
        <f t="shared" si="2"/>
        <v>0.29404261287025046</v>
      </c>
      <c r="H56">
        <f t="shared" si="3"/>
        <v>1.3009674492111333E-2</v>
      </c>
    </row>
    <row r="57" spans="1:8" x14ac:dyDescent="0.25">
      <c r="A57" t="s">
        <v>55</v>
      </c>
      <c r="B57">
        <v>3822</v>
      </c>
      <c r="C57">
        <v>1731</v>
      </c>
      <c r="D57">
        <v>4508</v>
      </c>
      <c r="E57">
        <f t="shared" si="0"/>
        <v>117.94871794871796</v>
      </c>
      <c r="F57">
        <f t="shared" si="1"/>
        <v>0.4148947469071716</v>
      </c>
      <c r="G57">
        <f t="shared" si="2"/>
        <v>8.8671088288118885E-2</v>
      </c>
      <c r="H57">
        <f t="shared" si="3"/>
        <v>2.7223364602926093E-3</v>
      </c>
    </row>
    <row r="58" spans="1:8" x14ac:dyDescent="0.25">
      <c r="A58" t="s">
        <v>56</v>
      </c>
      <c r="B58">
        <v>9988</v>
      </c>
      <c r="C58">
        <v>1492</v>
      </c>
      <c r="D58">
        <v>7241</v>
      </c>
      <c r="E58">
        <f t="shared" si="0"/>
        <v>72.496996395674813</v>
      </c>
      <c r="F58">
        <f t="shared" si="1"/>
        <v>0.15459693141267494</v>
      </c>
      <c r="G58">
        <f t="shared" si="2"/>
        <v>0.14242842730573843</v>
      </c>
      <c r="H58">
        <f t="shared" si="3"/>
        <v>5.4151144356743321E-3</v>
      </c>
    </row>
    <row r="59" spans="1:8" x14ac:dyDescent="0.25">
      <c r="A59" t="s">
        <v>57</v>
      </c>
      <c r="B59">
        <v>2871</v>
      </c>
      <c r="C59">
        <v>870</v>
      </c>
      <c r="D59">
        <v>4003</v>
      </c>
      <c r="E59">
        <f t="shared" si="0"/>
        <v>139.42877046325322</v>
      </c>
      <c r="F59">
        <f t="shared" si="1"/>
        <v>0.53790902568901122</v>
      </c>
      <c r="G59">
        <f t="shared" si="2"/>
        <v>7.8737880749188083E-2</v>
      </c>
      <c r="H59">
        <f t="shared" si="3"/>
        <v>2.2247686309593601E-3</v>
      </c>
    </row>
    <row r="60" spans="1:8" x14ac:dyDescent="0.25">
      <c r="A60" t="s">
        <v>58</v>
      </c>
      <c r="B60">
        <v>122760</v>
      </c>
      <c r="C60">
        <v>11452</v>
      </c>
      <c r="D60">
        <v>75577</v>
      </c>
      <c r="E60">
        <f t="shared" si="0"/>
        <v>61.564841968067775</v>
      </c>
      <c r="F60">
        <f t="shared" si="1"/>
        <v>9.1989491717927488E-2</v>
      </c>
      <c r="G60">
        <f t="shared" si="2"/>
        <v>1.4865782696431147</v>
      </c>
      <c r="H60">
        <f t="shared" si="3"/>
        <v>7.2745401931351414E-2</v>
      </c>
    </row>
    <row r="61" spans="1:8" x14ac:dyDescent="0.25">
      <c r="A61" t="s">
        <v>59</v>
      </c>
      <c r="B61">
        <v>5352</v>
      </c>
      <c r="C61">
        <v>841</v>
      </c>
      <c r="D61">
        <v>5467</v>
      </c>
      <c r="E61">
        <f t="shared" si="0"/>
        <v>102.14872944693572</v>
      </c>
      <c r="F61">
        <f t="shared" si="1"/>
        <v>0.3244096706256831</v>
      </c>
      <c r="G61">
        <f t="shared" si="2"/>
        <v>0.10753434775313796</v>
      </c>
      <c r="H61">
        <f t="shared" si="3"/>
        <v>3.6672226946106016E-3</v>
      </c>
    </row>
    <row r="62" spans="1:8" x14ac:dyDescent="0.25">
      <c r="A62" t="s">
        <v>60</v>
      </c>
      <c r="B62">
        <v>9730</v>
      </c>
      <c r="C62">
        <v>1899</v>
      </c>
      <c r="D62">
        <v>7996</v>
      </c>
      <c r="E62">
        <f t="shared" si="0"/>
        <v>82.178828365878729</v>
      </c>
      <c r="F62">
        <f t="shared" si="1"/>
        <v>0.21004388976138735</v>
      </c>
      <c r="G62">
        <f t="shared" si="2"/>
        <v>0.15727906431938743</v>
      </c>
      <c r="H62">
        <f t="shared" si="3"/>
        <v>6.1590029725982981E-3</v>
      </c>
    </row>
    <row r="63" spans="1:8" x14ac:dyDescent="0.25">
      <c r="A63" t="s">
        <v>61</v>
      </c>
      <c r="B63">
        <v>22570</v>
      </c>
      <c r="C63">
        <v>1216</v>
      </c>
      <c r="D63">
        <v>16963</v>
      </c>
      <c r="E63">
        <f t="shared" si="0"/>
        <v>75.157288435976966</v>
      </c>
      <c r="F63">
        <f t="shared" si="1"/>
        <v>0.16983217846178664</v>
      </c>
      <c r="G63">
        <f t="shared" si="2"/>
        <v>0.3336574247185804</v>
      </c>
      <c r="H63">
        <f t="shared" si="3"/>
        <v>1.4994034112462152E-2</v>
      </c>
    </row>
    <row r="64" spans="1:8" x14ac:dyDescent="0.25">
      <c r="A64" t="s">
        <v>62</v>
      </c>
      <c r="B64">
        <v>8301</v>
      </c>
      <c r="C64">
        <v>741</v>
      </c>
      <c r="D64">
        <v>7378</v>
      </c>
      <c r="E64">
        <f t="shared" si="0"/>
        <v>88.880857727984576</v>
      </c>
      <c r="F64">
        <f t="shared" si="1"/>
        <v>0.24842579352052727</v>
      </c>
      <c r="G64">
        <f t="shared" si="2"/>
        <v>0.14512317865788402</v>
      </c>
      <c r="H64">
        <f t="shared" si="3"/>
        <v>5.5500981834340456E-3</v>
      </c>
    </row>
    <row r="65" spans="1:8" x14ac:dyDescent="0.25">
      <c r="A65" t="s">
        <v>63</v>
      </c>
      <c r="B65">
        <v>14321</v>
      </c>
      <c r="C65">
        <v>1635</v>
      </c>
      <c r="D65">
        <v>9515</v>
      </c>
      <c r="E65">
        <f t="shared" si="0"/>
        <v>66.440890999231897</v>
      </c>
      <c r="F65">
        <f t="shared" si="1"/>
        <v>0.11991417460534826</v>
      </c>
      <c r="G65">
        <f t="shared" si="2"/>
        <v>0.18715736580777531</v>
      </c>
      <c r="H65">
        <f t="shared" si="3"/>
        <v>7.6556475919194976E-3</v>
      </c>
    </row>
    <row r="66" spans="1:8" x14ac:dyDescent="0.25">
      <c r="A66" t="s">
        <v>64</v>
      </c>
      <c r="B66">
        <v>101570</v>
      </c>
      <c r="C66">
        <v>19956</v>
      </c>
      <c r="D66">
        <v>49808</v>
      </c>
      <c r="E66">
        <f t="shared" si="0"/>
        <v>49.038101801713104</v>
      </c>
      <c r="F66">
        <f t="shared" si="1"/>
        <v>2.0250006630129436E-2</v>
      </c>
      <c r="G66">
        <f t="shared" si="2"/>
        <v>0.97970930910705967</v>
      </c>
      <c r="H66">
        <f t="shared" si="3"/>
        <v>4.7355648675730604E-2</v>
      </c>
    </row>
    <row r="67" spans="1:8" x14ac:dyDescent="0.25">
      <c r="A67" t="s">
        <v>65</v>
      </c>
      <c r="B67">
        <v>27196</v>
      </c>
      <c r="C67">
        <v>7040</v>
      </c>
      <c r="D67">
        <v>17554</v>
      </c>
      <c r="E67">
        <f t="shared" ref="E67:E130" si="4">(D67/B67)*100</f>
        <v>64.54625680247095</v>
      </c>
      <c r="F67">
        <f t="shared" ref="F67:F130" si="5">(E67-MIN(E:E))/(MAX(E:E)-MIN(E:E))</f>
        <v>0.10906377937878889</v>
      </c>
      <c r="G67">
        <f t="shared" ref="G67:G130" si="6">(D67/$C$249)*100</f>
        <v>0.34528222799681429</v>
      </c>
      <c r="H67">
        <f t="shared" ref="H67:H130" si="7">(G67-MIN(G:G))/(MAX(G:G)-MIN(G:G))</f>
        <v>1.557633626520661E-2</v>
      </c>
    </row>
    <row r="68" spans="1:8" x14ac:dyDescent="0.25">
      <c r="A68" t="s">
        <v>66</v>
      </c>
      <c r="B68">
        <v>4188</v>
      </c>
      <c r="C68">
        <v>996</v>
      </c>
      <c r="D68">
        <v>3860</v>
      </c>
      <c r="E68">
        <f t="shared" si="4"/>
        <v>92.168099331423122</v>
      </c>
      <c r="F68">
        <f t="shared" si="5"/>
        <v>0.26725152286895476</v>
      </c>
      <c r="G68">
        <f t="shared" si="6"/>
        <v>7.5925111089649264E-2</v>
      </c>
      <c r="H68">
        <f t="shared" si="7"/>
        <v>2.0838731862174698E-3</v>
      </c>
    </row>
    <row r="69" spans="1:8" x14ac:dyDescent="0.25">
      <c r="A69" t="s">
        <v>67</v>
      </c>
      <c r="B69">
        <v>2441</v>
      </c>
      <c r="C69">
        <v>444</v>
      </c>
      <c r="D69">
        <v>3122</v>
      </c>
      <c r="E69">
        <f t="shared" si="4"/>
        <v>127.89840229414176</v>
      </c>
      <c r="F69">
        <f t="shared" si="5"/>
        <v>0.47187567109397405</v>
      </c>
      <c r="G69">
        <f t="shared" si="6"/>
        <v>6.1408859280281093E-2</v>
      </c>
      <c r="H69">
        <f t="shared" si="7"/>
        <v>1.3567344574096718E-3</v>
      </c>
    </row>
    <row r="70" spans="1:8" x14ac:dyDescent="0.25">
      <c r="A70" t="s">
        <v>68</v>
      </c>
      <c r="B70">
        <v>10724</v>
      </c>
      <c r="C70">
        <v>1997</v>
      </c>
      <c r="D70">
        <v>7956</v>
      </c>
      <c r="E70">
        <f t="shared" si="4"/>
        <v>74.188735546437897</v>
      </c>
      <c r="F70">
        <f t="shared" si="5"/>
        <v>0.16428536543197256</v>
      </c>
      <c r="G70">
        <f t="shared" si="6"/>
        <v>0.15649227560343254</v>
      </c>
      <c r="H70">
        <f t="shared" si="7"/>
        <v>6.1195916593837843E-3</v>
      </c>
    </row>
    <row r="71" spans="1:8" x14ac:dyDescent="0.25">
      <c r="A71" t="s">
        <v>69</v>
      </c>
      <c r="B71">
        <v>9484</v>
      </c>
      <c r="C71">
        <v>767</v>
      </c>
      <c r="D71">
        <v>7155</v>
      </c>
      <c r="E71">
        <f t="shared" si="4"/>
        <v>75.442851117671879</v>
      </c>
      <c r="F71">
        <f t="shared" si="5"/>
        <v>0.17146756959092552</v>
      </c>
      <c r="G71">
        <f t="shared" si="6"/>
        <v>0.14073683156643535</v>
      </c>
      <c r="H71">
        <f t="shared" si="7"/>
        <v>5.330380112263125E-3</v>
      </c>
    </row>
    <row r="72" spans="1:8" x14ac:dyDescent="0.25">
      <c r="A72" t="s">
        <v>70</v>
      </c>
      <c r="B72">
        <v>66827</v>
      </c>
      <c r="C72">
        <v>12863</v>
      </c>
      <c r="D72">
        <v>39026</v>
      </c>
      <c r="E72">
        <f t="shared" si="4"/>
        <v>58.39855148368175</v>
      </c>
      <c r="F72">
        <f t="shared" si="5"/>
        <v>7.3856438268128904E-2</v>
      </c>
      <c r="G72">
        <f t="shared" si="6"/>
        <v>0.76763041072141247</v>
      </c>
      <c r="H72">
        <f t="shared" si="7"/>
        <v>3.6732329198758143E-2</v>
      </c>
    </row>
    <row r="73" spans="1:8" x14ac:dyDescent="0.25">
      <c r="A73" t="s">
        <v>71</v>
      </c>
      <c r="B73">
        <v>3670</v>
      </c>
      <c r="C73">
        <v>857</v>
      </c>
      <c r="D73">
        <v>4039</v>
      </c>
      <c r="E73">
        <f t="shared" si="4"/>
        <v>110.05449591280654</v>
      </c>
      <c r="F73">
        <f t="shared" si="5"/>
        <v>0.36968526570901267</v>
      </c>
      <c r="G73">
        <f t="shared" si="6"/>
        <v>7.9445990593547511E-2</v>
      </c>
      <c r="H73">
        <f t="shared" si="7"/>
        <v>2.2602388128524233E-3</v>
      </c>
    </row>
    <row r="74" spans="1:8" x14ac:dyDescent="0.25">
      <c r="A74" t="s">
        <v>72</v>
      </c>
      <c r="B74">
        <v>17532</v>
      </c>
      <c r="C74">
        <v>667</v>
      </c>
      <c r="D74">
        <v>13060</v>
      </c>
      <c r="E74">
        <f t="shared" si="4"/>
        <v>74.492356833219247</v>
      </c>
      <c r="F74">
        <f t="shared" si="5"/>
        <v>0.16602417652617019</v>
      </c>
      <c r="G74">
        <f t="shared" si="6"/>
        <v>0.25688651575927968</v>
      </c>
      <c r="H74">
        <f t="shared" si="7"/>
        <v>1.1148475225555874E-2</v>
      </c>
    </row>
    <row r="75" spans="1:8" x14ac:dyDescent="0.25">
      <c r="A75" t="s">
        <v>73</v>
      </c>
      <c r="B75">
        <v>3999</v>
      </c>
      <c r="C75">
        <v>911</v>
      </c>
      <c r="D75">
        <v>3979</v>
      </c>
      <c r="E75">
        <f t="shared" si="4"/>
        <v>99.499874968742191</v>
      </c>
      <c r="F75">
        <f t="shared" si="5"/>
        <v>0.3092399254394213</v>
      </c>
      <c r="G75">
        <f t="shared" si="6"/>
        <v>7.8265807519615135E-2</v>
      </c>
      <c r="H75">
        <f t="shared" si="7"/>
        <v>2.2011218430306513E-3</v>
      </c>
    </row>
    <row r="76" spans="1:8" x14ac:dyDescent="0.25">
      <c r="A76" t="s">
        <v>74</v>
      </c>
      <c r="B76">
        <v>2951</v>
      </c>
      <c r="C76">
        <v>435</v>
      </c>
      <c r="D76">
        <v>2614</v>
      </c>
      <c r="E76">
        <f t="shared" si="4"/>
        <v>88.580142324635716</v>
      </c>
      <c r="F76">
        <f t="shared" si="5"/>
        <v>0.24670362415262101</v>
      </c>
      <c r="G76">
        <f t="shared" si="6"/>
        <v>5.1416642587653674E-2</v>
      </c>
      <c r="H76">
        <f t="shared" si="7"/>
        <v>8.5621077958533394E-4</v>
      </c>
    </row>
    <row r="77" spans="1:8" x14ac:dyDescent="0.25">
      <c r="A77" t="s">
        <v>75</v>
      </c>
      <c r="B77">
        <v>3917</v>
      </c>
      <c r="C77">
        <v>1300</v>
      </c>
      <c r="D77">
        <v>4046</v>
      </c>
      <c r="E77">
        <f t="shared" si="4"/>
        <v>103.29333673729894</v>
      </c>
      <c r="F77">
        <f t="shared" si="5"/>
        <v>0.33096473096444107</v>
      </c>
      <c r="G77">
        <f t="shared" si="6"/>
        <v>7.9583678618839609E-2</v>
      </c>
      <c r="H77">
        <f t="shared" si="7"/>
        <v>2.2671357926649632E-3</v>
      </c>
    </row>
    <row r="78" spans="1:8" x14ac:dyDescent="0.25">
      <c r="A78" t="s">
        <v>76</v>
      </c>
      <c r="B78">
        <v>2753</v>
      </c>
      <c r="C78">
        <v>1024</v>
      </c>
      <c r="D78">
        <v>3643</v>
      </c>
      <c r="E78">
        <f t="shared" si="4"/>
        <v>132.32836905194333</v>
      </c>
      <c r="F78">
        <f t="shared" si="5"/>
        <v>0.4972456819619514</v>
      </c>
      <c r="G78">
        <f t="shared" si="6"/>
        <v>7.1656782305593844E-2</v>
      </c>
      <c r="H78">
        <f t="shared" si="7"/>
        <v>1.8700668120287265E-3</v>
      </c>
    </row>
    <row r="79" spans="1:8" x14ac:dyDescent="0.25">
      <c r="A79" t="s">
        <v>77</v>
      </c>
      <c r="B79">
        <v>1889</v>
      </c>
      <c r="C79">
        <v>409</v>
      </c>
      <c r="D79">
        <v>4158</v>
      </c>
      <c r="E79">
        <f t="shared" si="4"/>
        <v>220.11646373742718</v>
      </c>
      <c r="F79">
        <f t="shared" si="5"/>
        <v>1</v>
      </c>
      <c r="G79">
        <f t="shared" si="6"/>
        <v>8.1786687023513369E-2</v>
      </c>
      <c r="H79">
        <f t="shared" si="7"/>
        <v>2.3774874696656043E-3</v>
      </c>
    </row>
    <row r="80" spans="1:8" x14ac:dyDescent="0.25">
      <c r="A80" t="s">
        <v>78</v>
      </c>
      <c r="B80">
        <v>1991</v>
      </c>
      <c r="C80">
        <v>214</v>
      </c>
      <c r="D80">
        <v>2512</v>
      </c>
      <c r="E80">
        <f t="shared" si="4"/>
        <v>126.16775489703667</v>
      </c>
      <c r="F80">
        <f t="shared" si="5"/>
        <v>0.46196441313794773</v>
      </c>
      <c r="G80">
        <f t="shared" si="6"/>
        <v>4.9410331361968637E-2</v>
      </c>
      <c r="H80">
        <f t="shared" si="7"/>
        <v>7.5571193088832102E-4</v>
      </c>
    </row>
    <row r="81" spans="1:8" x14ac:dyDescent="0.25">
      <c r="A81" t="s">
        <v>79</v>
      </c>
      <c r="B81">
        <v>6823</v>
      </c>
      <c r="C81">
        <v>889</v>
      </c>
      <c r="D81">
        <v>5685</v>
      </c>
      <c r="E81">
        <f t="shared" si="4"/>
        <v>83.32111974204895</v>
      </c>
      <c r="F81">
        <f t="shared" si="5"/>
        <v>0.21658568707325185</v>
      </c>
      <c r="G81">
        <f t="shared" si="6"/>
        <v>0.11182234625509224</v>
      </c>
      <c r="H81">
        <f t="shared" si="7"/>
        <v>3.8820143516297063E-3</v>
      </c>
    </row>
    <row r="82" spans="1:8" x14ac:dyDescent="0.25">
      <c r="A82" t="s">
        <v>80</v>
      </c>
      <c r="B82">
        <v>4104</v>
      </c>
      <c r="C82">
        <v>577</v>
      </c>
      <c r="D82">
        <v>4174</v>
      </c>
      <c r="E82">
        <f t="shared" si="4"/>
        <v>101.7056530214425</v>
      </c>
      <c r="F82">
        <f t="shared" si="5"/>
        <v>0.32187221281963724</v>
      </c>
      <c r="G82">
        <f t="shared" si="6"/>
        <v>8.2101402509895338E-2</v>
      </c>
      <c r="H82">
        <f t="shared" si="7"/>
        <v>2.3932519949514106E-3</v>
      </c>
    </row>
    <row r="83" spans="1:8" x14ac:dyDescent="0.25">
      <c r="A83" t="s">
        <v>81</v>
      </c>
      <c r="B83">
        <v>11982</v>
      </c>
      <c r="C83">
        <v>1437</v>
      </c>
      <c r="D83">
        <v>9569</v>
      </c>
      <c r="E83">
        <f t="shared" si="4"/>
        <v>79.861458854949092</v>
      </c>
      <c r="F83">
        <f t="shared" si="5"/>
        <v>0.19677252839645909</v>
      </c>
      <c r="G83">
        <f t="shared" si="6"/>
        <v>0.18821953057431445</v>
      </c>
      <c r="H83">
        <f t="shared" si="7"/>
        <v>7.7088528647590929E-3</v>
      </c>
    </row>
    <row r="84" spans="1:8" x14ac:dyDescent="0.25">
      <c r="A84" t="s">
        <v>82</v>
      </c>
      <c r="B84">
        <v>3214</v>
      </c>
      <c r="C84">
        <v>511</v>
      </c>
      <c r="D84">
        <v>3231</v>
      </c>
      <c r="E84">
        <f t="shared" si="4"/>
        <v>100.5289359054138</v>
      </c>
      <c r="F84">
        <f t="shared" si="5"/>
        <v>0.31513326247207341</v>
      </c>
      <c r="G84">
        <f t="shared" si="6"/>
        <v>6.3552858531258222E-2</v>
      </c>
      <c r="H84">
        <f t="shared" si="7"/>
        <v>1.464130285919224E-3</v>
      </c>
    </row>
    <row r="85" spans="1:8" x14ac:dyDescent="0.25">
      <c r="A85" t="s">
        <v>83</v>
      </c>
      <c r="B85">
        <v>7167</v>
      </c>
      <c r="C85">
        <v>1111</v>
      </c>
      <c r="D85">
        <v>6634</v>
      </c>
      <c r="E85">
        <f t="shared" si="4"/>
        <v>92.56313659829776</v>
      </c>
      <c r="F85">
        <f t="shared" si="5"/>
        <v>0.26951386484617523</v>
      </c>
      <c r="G85">
        <f t="shared" si="6"/>
        <v>0.13048890854112258</v>
      </c>
      <c r="H85">
        <f t="shared" si="7"/>
        <v>4.8170477576440695E-3</v>
      </c>
    </row>
    <row r="86" spans="1:8" x14ac:dyDescent="0.25">
      <c r="A86" t="s">
        <v>84</v>
      </c>
      <c r="B86">
        <v>5842</v>
      </c>
      <c r="C86">
        <v>1712</v>
      </c>
      <c r="D86">
        <v>5549</v>
      </c>
      <c r="E86">
        <f t="shared" si="4"/>
        <v>94.984594317014725</v>
      </c>
      <c r="F86">
        <f t="shared" si="5"/>
        <v>0.28338132977286101</v>
      </c>
      <c r="G86">
        <f t="shared" si="6"/>
        <v>0.10914726462084552</v>
      </c>
      <c r="H86">
        <f t="shared" si="7"/>
        <v>3.7480158867003563E-3</v>
      </c>
    </row>
    <row r="87" spans="1:8" x14ac:dyDescent="0.25">
      <c r="A87" t="s">
        <v>85</v>
      </c>
      <c r="B87">
        <v>10274</v>
      </c>
      <c r="C87">
        <v>1102</v>
      </c>
      <c r="D87">
        <v>8779</v>
      </c>
      <c r="E87">
        <f t="shared" si="4"/>
        <v>85.448705470118753</v>
      </c>
      <c r="F87">
        <f t="shared" si="5"/>
        <v>0.22877017422513088</v>
      </c>
      <c r="G87">
        <f t="shared" si="6"/>
        <v>0.17268045343420488</v>
      </c>
      <c r="H87">
        <f t="shared" si="7"/>
        <v>6.9304794287724254E-3</v>
      </c>
    </row>
    <row r="88" spans="1:8" x14ac:dyDescent="0.25">
      <c r="A88" t="s">
        <v>86</v>
      </c>
      <c r="B88">
        <v>14273</v>
      </c>
      <c r="C88">
        <v>2949</v>
      </c>
      <c r="D88">
        <v>8560</v>
      </c>
      <c r="E88">
        <f t="shared" si="4"/>
        <v>59.973376304911376</v>
      </c>
      <c r="F88">
        <f t="shared" si="5"/>
        <v>8.2875314709897854E-2</v>
      </c>
      <c r="G88">
        <f t="shared" si="6"/>
        <v>0.16837278521435173</v>
      </c>
      <c r="H88">
        <f t="shared" si="7"/>
        <v>6.7147024889229572E-3</v>
      </c>
    </row>
    <row r="89" spans="1:8" x14ac:dyDescent="0.25">
      <c r="A89" t="s">
        <v>87</v>
      </c>
      <c r="B89">
        <v>121559</v>
      </c>
      <c r="C89">
        <v>11661</v>
      </c>
      <c r="D89">
        <v>77969</v>
      </c>
      <c r="E89">
        <f t="shared" si="4"/>
        <v>64.140869865661941</v>
      </c>
      <c r="F89">
        <f t="shared" si="5"/>
        <v>0.1067421657968205</v>
      </c>
      <c r="G89">
        <f t="shared" si="6"/>
        <v>1.5336282348572186</v>
      </c>
      <c r="H89">
        <f t="shared" si="7"/>
        <v>7.5102198461579395E-2</v>
      </c>
    </row>
    <row r="90" spans="1:8" x14ac:dyDescent="0.25">
      <c r="A90" t="s">
        <v>88</v>
      </c>
      <c r="B90">
        <v>4662</v>
      </c>
      <c r="C90">
        <v>311</v>
      </c>
      <c r="D90">
        <v>4730</v>
      </c>
      <c r="E90">
        <f t="shared" si="4"/>
        <v>101.45860145860146</v>
      </c>
      <c r="F90">
        <f t="shared" si="5"/>
        <v>0.32045737131474555</v>
      </c>
      <c r="G90">
        <f t="shared" si="6"/>
        <v>9.3037765661668659E-2</v>
      </c>
      <c r="H90">
        <f t="shared" si="7"/>
        <v>2.9410692486331663E-3</v>
      </c>
    </row>
    <row r="91" spans="1:8" x14ac:dyDescent="0.25">
      <c r="A91" t="s">
        <v>89</v>
      </c>
      <c r="B91">
        <v>3563</v>
      </c>
      <c r="C91">
        <v>328</v>
      </c>
      <c r="D91">
        <v>3715</v>
      </c>
      <c r="E91">
        <f t="shared" si="4"/>
        <v>104.26606792029189</v>
      </c>
      <c r="F91">
        <f t="shared" si="5"/>
        <v>0.33653547269533352</v>
      </c>
      <c r="G91">
        <f t="shared" si="6"/>
        <v>7.30730019943127E-2</v>
      </c>
      <c r="H91">
        <f t="shared" si="7"/>
        <v>1.9410071758148536E-3</v>
      </c>
    </row>
    <row r="92" spans="1:8" x14ac:dyDescent="0.25">
      <c r="A92" t="s">
        <v>90</v>
      </c>
      <c r="B92">
        <v>4405</v>
      </c>
      <c r="C92">
        <v>1834</v>
      </c>
      <c r="D92">
        <v>5170</v>
      </c>
      <c r="E92">
        <f t="shared" si="4"/>
        <v>117.36662883087401</v>
      </c>
      <c r="F92">
        <f t="shared" si="5"/>
        <v>0.41156117623876298</v>
      </c>
      <c r="G92">
        <f t="shared" si="6"/>
        <v>0.10169244153717272</v>
      </c>
      <c r="H92">
        <f t="shared" si="7"/>
        <v>3.3745936939928284E-3</v>
      </c>
    </row>
    <row r="93" spans="1:8" x14ac:dyDescent="0.25">
      <c r="A93" t="s">
        <v>91</v>
      </c>
      <c r="B93">
        <v>14758</v>
      </c>
      <c r="C93">
        <v>1323</v>
      </c>
      <c r="D93">
        <v>10770</v>
      </c>
      <c r="E93">
        <f t="shared" si="4"/>
        <v>72.977368207074136</v>
      </c>
      <c r="F93">
        <f t="shared" si="5"/>
        <v>0.15734797645255211</v>
      </c>
      <c r="G93">
        <f t="shared" si="6"/>
        <v>0.21184286177086076</v>
      </c>
      <c r="H93">
        <f t="shared" si="7"/>
        <v>8.8921775440248992E-3</v>
      </c>
    </row>
    <row r="94" spans="1:8" x14ac:dyDescent="0.25">
      <c r="A94" t="s">
        <v>92</v>
      </c>
      <c r="B94">
        <v>4962</v>
      </c>
      <c r="C94">
        <v>644</v>
      </c>
      <c r="D94">
        <v>4581</v>
      </c>
      <c r="E94">
        <f t="shared" si="4"/>
        <v>92.321644498186217</v>
      </c>
      <c r="F94">
        <f t="shared" si="5"/>
        <v>0.26813086187136259</v>
      </c>
      <c r="G94">
        <f t="shared" si="6"/>
        <v>9.0106977694736606E-2</v>
      </c>
      <c r="H94">
        <f t="shared" si="7"/>
        <v>2.7942621069090988E-3</v>
      </c>
    </row>
    <row r="95" spans="1:8" x14ac:dyDescent="0.25">
      <c r="A95" t="s">
        <v>93</v>
      </c>
      <c r="B95">
        <v>78009</v>
      </c>
      <c r="C95">
        <v>3739</v>
      </c>
      <c r="D95">
        <v>59497</v>
      </c>
      <c r="E95">
        <f t="shared" si="4"/>
        <v>76.26940481226525</v>
      </c>
      <c r="F95">
        <f t="shared" si="5"/>
        <v>0.17620116633358079</v>
      </c>
      <c r="G95">
        <f t="shared" si="6"/>
        <v>1.1702892058292389</v>
      </c>
      <c r="H95">
        <f t="shared" si="7"/>
        <v>5.6902054019116459E-2</v>
      </c>
    </row>
    <row r="96" spans="1:8" x14ac:dyDescent="0.25">
      <c r="A96" t="s">
        <v>94</v>
      </c>
      <c r="B96">
        <v>1503256</v>
      </c>
      <c r="C96">
        <v>96885</v>
      </c>
      <c r="D96">
        <v>1016682</v>
      </c>
      <c r="E96">
        <f t="shared" si="4"/>
        <v>67.631993486139422</v>
      </c>
      <c r="F96">
        <f t="shared" si="5"/>
        <v>0.12673550864459396</v>
      </c>
      <c r="G96">
        <f t="shared" si="6"/>
        <v>19.997848132861865</v>
      </c>
      <c r="H96">
        <f t="shared" si="7"/>
        <v>1</v>
      </c>
    </row>
    <row r="97" spans="1:8" x14ac:dyDescent="0.25">
      <c r="A97" t="s">
        <v>95</v>
      </c>
      <c r="B97">
        <v>81495</v>
      </c>
      <c r="C97">
        <v>8909</v>
      </c>
      <c r="D97">
        <v>47633</v>
      </c>
      <c r="E97">
        <f t="shared" si="4"/>
        <v>58.44898460028223</v>
      </c>
      <c r="F97">
        <f t="shared" si="5"/>
        <v>7.4145264073425712E-2</v>
      </c>
      <c r="G97">
        <f t="shared" si="6"/>
        <v>0.93692767267701127</v>
      </c>
      <c r="H97">
        <f t="shared" si="7"/>
        <v>4.5212658519691369E-2</v>
      </c>
    </row>
    <row r="98" spans="1:8" x14ac:dyDescent="0.25">
      <c r="A98" t="s">
        <v>96</v>
      </c>
      <c r="B98">
        <v>24172</v>
      </c>
      <c r="C98">
        <v>3391</v>
      </c>
      <c r="D98">
        <v>19275</v>
      </c>
      <c r="E98">
        <f t="shared" si="4"/>
        <v>79.74102267085884</v>
      </c>
      <c r="F98">
        <f t="shared" si="5"/>
        <v>0.1960828014828459</v>
      </c>
      <c r="G98">
        <f t="shared" si="6"/>
        <v>0.37913381250077449</v>
      </c>
      <c r="H98">
        <f t="shared" si="7"/>
        <v>1.7272008016261109E-2</v>
      </c>
    </row>
    <row r="99" spans="1:8" x14ac:dyDescent="0.25">
      <c r="A99" t="s">
        <v>97</v>
      </c>
      <c r="B99">
        <v>36984</v>
      </c>
      <c r="C99">
        <v>1328</v>
      </c>
      <c r="D99">
        <v>27890</v>
      </c>
      <c r="E99">
        <f t="shared" si="4"/>
        <v>75.410988535582959</v>
      </c>
      <c r="F99">
        <f t="shared" si="5"/>
        <v>0.17128509552326932</v>
      </c>
      <c r="G99">
        <f t="shared" si="6"/>
        <v>0.54858843219956432</v>
      </c>
      <c r="H99">
        <f t="shared" si="7"/>
        <v>2.5760219599837233E-2</v>
      </c>
    </row>
    <row r="100" spans="1:8" x14ac:dyDescent="0.25">
      <c r="A100" t="s">
        <v>98</v>
      </c>
      <c r="B100">
        <v>4313</v>
      </c>
      <c r="C100">
        <v>833</v>
      </c>
      <c r="D100">
        <v>4018</v>
      </c>
      <c r="E100">
        <f t="shared" si="4"/>
        <v>93.160213308601897</v>
      </c>
      <c r="F100">
        <f t="shared" si="5"/>
        <v>0.272933268073695</v>
      </c>
      <c r="G100">
        <f t="shared" si="6"/>
        <v>7.9032926517671173E-2</v>
      </c>
      <c r="H100">
        <f t="shared" si="7"/>
        <v>2.2395478734148029E-3</v>
      </c>
    </row>
    <row r="101" spans="1:8" x14ac:dyDescent="0.25">
      <c r="A101" t="s">
        <v>99</v>
      </c>
      <c r="B101">
        <v>20985</v>
      </c>
      <c r="C101">
        <v>3664</v>
      </c>
      <c r="D101">
        <v>14880</v>
      </c>
      <c r="E101">
        <f t="shared" si="4"/>
        <v>70.907791279485338</v>
      </c>
      <c r="F101">
        <f t="shared" si="5"/>
        <v>0.14549570034854373</v>
      </c>
      <c r="G101">
        <f t="shared" si="6"/>
        <v>0.29268540233522822</v>
      </c>
      <c r="H101">
        <f t="shared" si="7"/>
        <v>1.2941689976816294E-2</v>
      </c>
    </row>
    <row r="102" spans="1:8" x14ac:dyDescent="0.25">
      <c r="A102" t="s">
        <v>100</v>
      </c>
      <c r="B102">
        <v>2170</v>
      </c>
      <c r="C102">
        <v>328</v>
      </c>
      <c r="D102">
        <v>2793</v>
      </c>
      <c r="E102">
        <f t="shared" si="4"/>
        <v>128.70967741935485</v>
      </c>
      <c r="F102">
        <f t="shared" si="5"/>
        <v>0.47652176887954517</v>
      </c>
      <c r="G102">
        <f t="shared" si="6"/>
        <v>5.4937522091551914E-2</v>
      </c>
      <c r="H102">
        <f t="shared" si="7"/>
        <v>1.0325764062202876E-3</v>
      </c>
    </row>
    <row r="103" spans="1:8" x14ac:dyDescent="0.25">
      <c r="A103" t="s">
        <v>101</v>
      </c>
      <c r="B103">
        <v>4091</v>
      </c>
      <c r="C103">
        <v>1074</v>
      </c>
      <c r="D103">
        <v>4818</v>
      </c>
      <c r="E103">
        <f t="shared" si="4"/>
        <v>117.77071620630653</v>
      </c>
      <c r="F103">
        <f t="shared" si="5"/>
        <v>0.41387534735263903</v>
      </c>
      <c r="G103">
        <f t="shared" si="6"/>
        <v>9.4768700836769471E-2</v>
      </c>
      <c r="H103">
        <f t="shared" si="7"/>
        <v>3.0277741377050991E-3</v>
      </c>
    </row>
    <row r="104" spans="1:8" x14ac:dyDescent="0.25">
      <c r="A104" t="s">
        <v>102</v>
      </c>
      <c r="B104">
        <v>2154</v>
      </c>
      <c r="C104">
        <v>173</v>
      </c>
      <c r="D104">
        <v>3075</v>
      </c>
      <c r="E104">
        <f t="shared" si="4"/>
        <v>142.75766016713092</v>
      </c>
      <c r="F104">
        <f t="shared" si="5"/>
        <v>0.55697326986577489</v>
      </c>
      <c r="G104">
        <f t="shared" si="6"/>
        <v>6.0484382539034057E-2</v>
      </c>
      <c r="H104">
        <f t="shared" si="7"/>
        <v>1.3104261643826164E-3</v>
      </c>
    </row>
    <row r="105" spans="1:8" x14ac:dyDescent="0.25">
      <c r="A105" t="s">
        <v>103</v>
      </c>
      <c r="B105">
        <v>3342</v>
      </c>
      <c r="C105">
        <v>896</v>
      </c>
      <c r="D105">
        <v>4211</v>
      </c>
      <c r="E105">
        <f t="shared" si="4"/>
        <v>126.00239377618192</v>
      </c>
      <c r="F105">
        <f t="shared" si="5"/>
        <v>0.46101740525671747</v>
      </c>
      <c r="G105">
        <f t="shared" si="6"/>
        <v>8.2829182072153645E-2</v>
      </c>
      <c r="H105">
        <f t="shared" si="7"/>
        <v>2.429707459674837E-3</v>
      </c>
    </row>
    <row r="106" spans="1:8" x14ac:dyDescent="0.25">
      <c r="A106" t="s">
        <v>104</v>
      </c>
      <c r="B106">
        <v>30587</v>
      </c>
      <c r="C106">
        <v>2833</v>
      </c>
      <c r="D106">
        <v>23632</v>
      </c>
      <c r="E106">
        <f t="shared" si="4"/>
        <v>77.261581717723217</v>
      </c>
      <c r="F106">
        <f t="shared" si="5"/>
        <v>0.18188327192276957</v>
      </c>
      <c r="G106">
        <f t="shared" si="6"/>
        <v>0.46483477338616364</v>
      </c>
      <c r="H106">
        <f t="shared" si="7"/>
        <v>2.1564885308152135E-2</v>
      </c>
    </row>
    <row r="107" spans="1:8" x14ac:dyDescent="0.25">
      <c r="A107" t="s">
        <v>105</v>
      </c>
      <c r="B107">
        <v>3477</v>
      </c>
      <c r="C107">
        <v>516</v>
      </c>
      <c r="D107">
        <v>3886</v>
      </c>
      <c r="E107">
        <f t="shared" si="4"/>
        <v>111.76301409260859</v>
      </c>
      <c r="F107">
        <f t="shared" si="5"/>
        <v>0.37946979167941186</v>
      </c>
      <c r="G107">
        <f t="shared" si="6"/>
        <v>7.6436523755019956E-2</v>
      </c>
      <c r="H107">
        <f t="shared" si="7"/>
        <v>2.1094905398069039E-3</v>
      </c>
    </row>
    <row r="108" spans="1:8" x14ac:dyDescent="0.25">
      <c r="A108" t="s">
        <v>106</v>
      </c>
      <c r="B108">
        <v>10289</v>
      </c>
      <c r="C108">
        <v>3947</v>
      </c>
      <c r="D108">
        <v>8543</v>
      </c>
      <c r="E108">
        <f t="shared" si="4"/>
        <v>83.030420837787929</v>
      </c>
      <c r="F108">
        <f t="shared" si="5"/>
        <v>0.21492088127139722</v>
      </c>
      <c r="G108">
        <f t="shared" si="6"/>
        <v>0.16803840001007089</v>
      </c>
      <c r="H108">
        <f t="shared" si="7"/>
        <v>6.6979526808067886E-3</v>
      </c>
    </row>
    <row r="109" spans="1:8" x14ac:dyDescent="0.25">
      <c r="A109" t="s">
        <v>107</v>
      </c>
      <c r="B109">
        <v>6076</v>
      </c>
      <c r="C109">
        <v>491</v>
      </c>
      <c r="D109">
        <v>4811</v>
      </c>
      <c r="E109">
        <f t="shared" si="4"/>
        <v>79.180381830151418</v>
      </c>
      <c r="F109">
        <f t="shared" si="5"/>
        <v>0.19287206311856125</v>
      </c>
      <c r="G109">
        <f t="shared" si="6"/>
        <v>9.4631012811477358E-2</v>
      </c>
      <c r="H109">
        <f t="shared" si="7"/>
        <v>3.0208771578925588E-3</v>
      </c>
    </row>
    <row r="110" spans="1:8" x14ac:dyDescent="0.25">
      <c r="A110" t="s">
        <v>108</v>
      </c>
      <c r="B110">
        <v>17985</v>
      </c>
      <c r="C110">
        <v>702</v>
      </c>
      <c r="D110">
        <v>12748</v>
      </c>
      <c r="E110">
        <f t="shared" si="4"/>
        <v>70.881289963858777</v>
      </c>
      <c r="F110">
        <f t="shared" si="5"/>
        <v>0.1453439297592323</v>
      </c>
      <c r="G110">
        <f t="shared" si="6"/>
        <v>0.25074956377483132</v>
      </c>
      <c r="H110">
        <f t="shared" si="7"/>
        <v>1.0841066982482658E-2</v>
      </c>
    </row>
    <row r="111" spans="1:8" x14ac:dyDescent="0.25">
      <c r="A111" t="s">
        <v>109</v>
      </c>
      <c r="B111">
        <v>53884</v>
      </c>
      <c r="C111">
        <v>4468</v>
      </c>
      <c r="D111">
        <v>40945</v>
      </c>
      <c r="E111">
        <f t="shared" si="4"/>
        <v>75.987306064880116</v>
      </c>
      <c r="F111">
        <f t="shared" si="5"/>
        <v>0.17458561283661608</v>
      </c>
      <c r="G111">
        <f t="shared" si="6"/>
        <v>0.80537659936934947</v>
      </c>
      <c r="H111">
        <f t="shared" si="7"/>
        <v>3.862308695022449E-2</v>
      </c>
    </row>
    <row r="112" spans="1:8" x14ac:dyDescent="0.25">
      <c r="A112" t="s">
        <v>110</v>
      </c>
      <c r="B112">
        <v>26223</v>
      </c>
      <c r="C112">
        <v>3082</v>
      </c>
      <c r="D112">
        <v>20557</v>
      </c>
      <c r="E112">
        <f t="shared" si="4"/>
        <v>78.393013766540818</v>
      </c>
      <c r="F112">
        <f t="shared" si="5"/>
        <v>0.18836287886887798</v>
      </c>
      <c r="G112">
        <f t="shared" si="6"/>
        <v>0.40435039084712954</v>
      </c>
      <c r="H112">
        <f t="shared" si="7"/>
        <v>1.853514060478631E-2</v>
      </c>
    </row>
    <row r="113" spans="1:8" x14ac:dyDescent="0.25">
      <c r="A113" t="s">
        <v>111</v>
      </c>
      <c r="B113">
        <v>2968</v>
      </c>
      <c r="C113">
        <v>577</v>
      </c>
      <c r="D113">
        <v>3155</v>
      </c>
      <c r="E113">
        <f t="shared" si="4"/>
        <v>106.30053908355794</v>
      </c>
      <c r="F113">
        <f t="shared" si="5"/>
        <v>0.34818670132628166</v>
      </c>
      <c r="G113">
        <f t="shared" si="6"/>
        <v>6.2057959970943891E-2</v>
      </c>
      <c r="H113">
        <f t="shared" si="7"/>
        <v>1.3892487908116462E-3</v>
      </c>
    </row>
    <row r="114" spans="1:8" x14ac:dyDescent="0.25">
      <c r="A114" t="s">
        <v>112</v>
      </c>
      <c r="B114">
        <v>37283</v>
      </c>
      <c r="C114">
        <v>2601</v>
      </c>
      <c r="D114">
        <v>26692</v>
      </c>
      <c r="E114">
        <f t="shared" si="4"/>
        <v>71.592951211007687</v>
      </c>
      <c r="F114">
        <f t="shared" si="5"/>
        <v>0.14941954805652313</v>
      </c>
      <c r="G114">
        <f t="shared" si="6"/>
        <v>0.52502411015671457</v>
      </c>
      <c r="H114">
        <f t="shared" si="7"/>
        <v>2.4579850769062515E-2</v>
      </c>
    </row>
    <row r="115" spans="1:8" x14ac:dyDescent="0.25">
      <c r="A115" t="s">
        <v>113</v>
      </c>
      <c r="B115">
        <v>2515</v>
      </c>
      <c r="C115">
        <v>475</v>
      </c>
      <c r="D115">
        <v>2997</v>
      </c>
      <c r="E115">
        <f t="shared" si="4"/>
        <v>119.16500994035786</v>
      </c>
      <c r="F115">
        <f t="shared" si="5"/>
        <v>0.42186033891577879</v>
      </c>
      <c r="G115">
        <f t="shared" si="6"/>
        <v>5.8950144542921974E-2</v>
      </c>
      <c r="H115">
        <f t="shared" si="7"/>
        <v>1.2335741036143127E-3</v>
      </c>
    </row>
    <row r="116" spans="1:8" x14ac:dyDescent="0.25">
      <c r="A116" t="s">
        <v>114</v>
      </c>
      <c r="B116">
        <v>47603</v>
      </c>
      <c r="C116">
        <v>4220</v>
      </c>
      <c r="D116">
        <v>33294</v>
      </c>
      <c r="E116">
        <f t="shared" si="4"/>
        <v>69.940970106926031</v>
      </c>
      <c r="F116">
        <f t="shared" si="5"/>
        <v>0.13995880470208685</v>
      </c>
      <c r="G116">
        <f t="shared" si="6"/>
        <v>0.65488358772507327</v>
      </c>
      <c r="H116">
        <f t="shared" si="7"/>
        <v>3.108468801511818E-2</v>
      </c>
    </row>
    <row r="117" spans="1:8" x14ac:dyDescent="0.25">
      <c r="A117" t="s">
        <v>115</v>
      </c>
      <c r="B117">
        <v>5120</v>
      </c>
      <c r="C117">
        <v>388</v>
      </c>
      <c r="D117">
        <v>5173</v>
      </c>
      <c r="E117">
        <f t="shared" si="4"/>
        <v>101.03515624999999</v>
      </c>
      <c r="F117">
        <f t="shared" si="5"/>
        <v>0.31803233967646222</v>
      </c>
      <c r="G117">
        <f t="shared" si="6"/>
        <v>0.10175145069086934</v>
      </c>
      <c r="H117">
        <f t="shared" si="7"/>
        <v>3.3775495424839181E-3</v>
      </c>
    </row>
    <row r="118" spans="1:8" x14ac:dyDescent="0.25">
      <c r="A118" t="s">
        <v>116</v>
      </c>
      <c r="B118">
        <v>4837</v>
      </c>
      <c r="C118">
        <v>543</v>
      </c>
      <c r="D118">
        <v>5288</v>
      </c>
      <c r="E118">
        <f t="shared" si="4"/>
        <v>109.32396113293363</v>
      </c>
      <c r="F118">
        <f t="shared" si="5"/>
        <v>0.36550156043127624</v>
      </c>
      <c r="G118">
        <f t="shared" si="6"/>
        <v>0.10401346824923971</v>
      </c>
      <c r="H118">
        <f t="shared" si="7"/>
        <v>3.4908570679756468E-3</v>
      </c>
    </row>
    <row r="119" spans="1:8" x14ac:dyDescent="0.25">
      <c r="A119" t="s">
        <v>117</v>
      </c>
      <c r="B119">
        <v>4276</v>
      </c>
      <c r="C119">
        <v>318</v>
      </c>
      <c r="D119">
        <v>3682</v>
      </c>
      <c r="E119">
        <f t="shared" si="4"/>
        <v>86.108512628624879</v>
      </c>
      <c r="F119">
        <f t="shared" si="5"/>
        <v>0.23254882894135201</v>
      </c>
      <c r="G119">
        <f t="shared" si="6"/>
        <v>7.2423901303649896E-2</v>
      </c>
      <c r="H119">
        <f t="shared" si="7"/>
        <v>1.908492842412879E-3</v>
      </c>
    </row>
    <row r="120" spans="1:8" x14ac:dyDescent="0.25">
      <c r="A120" t="s">
        <v>118</v>
      </c>
      <c r="B120">
        <v>21891</v>
      </c>
      <c r="C120">
        <v>1234</v>
      </c>
      <c r="D120">
        <v>15744</v>
      </c>
      <c r="E120">
        <f t="shared" si="4"/>
        <v>71.91996710977115</v>
      </c>
      <c r="F120">
        <f t="shared" si="5"/>
        <v>0.15129233793491664</v>
      </c>
      <c r="G120">
        <f t="shared" si="6"/>
        <v>0.30968003859985443</v>
      </c>
      <c r="H120">
        <f t="shared" si="7"/>
        <v>1.3792974342249817E-2</v>
      </c>
    </row>
    <row r="121" spans="1:8" x14ac:dyDescent="0.25">
      <c r="A121" t="s">
        <v>119</v>
      </c>
      <c r="B121">
        <v>8133</v>
      </c>
      <c r="C121">
        <v>1509</v>
      </c>
      <c r="D121">
        <v>6881</v>
      </c>
      <c r="E121">
        <f t="shared" si="4"/>
        <v>84.605926472396405</v>
      </c>
      <c r="F121">
        <f t="shared" si="5"/>
        <v>0.22394365666856805</v>
      </c>
      <c r="G121">
        <f t="shared" si="6"/>
        <v>0.13534732886214418</v>
      </c>
      <c r="H121">
        <f t="shared" si="7"/>
        <v>5.060412616743698E-3</v>
      </c>
    </row>
    <row r="122" spans="1:8" x14ac:dyDescent="0.25">
      <c r="A122" t="s">
        <v>120</v>
      </c>
      <c r="B122">
        <v>26553</v>
      </c>
      <c r="C122">
        <v>689</v>
      </c>
      <c r="D122">
        <v>21546</v>
      </c>
      <c r="E122">
        <f t="shared" si="4"/>
        <v>81.143373630098296</v>
      </c>
      <c r="F122">
        <f t="shared" si="5"/>
        <v>0.20411393603119621</v>
      </c>
      <c r="G122">
        <f t="shared" si="6"/>
        <v>0.42380374184911479</v>
      </c>
      <c r="H122">
        <f t="shared" si="7"/>
        <v>1.9509585324015186E-2</v>
      </c>
    </row>
    <row r="123" spans="1:8" x14ac:dyDescent="0.25">
      <c r="A123" t="s">
        <v>121</v>
      </c>
      <c r="B123">
        <v>6124</v>
      </c>
      <c r="C123">
        <v>584</v>
      </c>
      <c r="D123">
        <v>4695</v>
      </c>
      <c r="E123">
        <f t="shared" si="4"/>
        <v>76.66557805355977</v>
      </c>
      <c r="F123">
        <f t="shared" si="5"/>
        <v>0.17847001393148731</v>
      </c>
      <c r="G123">
        <f t="shared" si="6"/>
        <v>9.234932553520811E-2</v>
      </c>
      <c r="H123">
        <f t="shared" si="7"/>
        <v>2.9065843495704661E-3</v>
      </c>
    </row>
    <row r="124" spans="1:8" x14ac:dyDescent="0.25">
      <c r="A124" t="s">
        <v>122</v>
      </c>
      <c r="B124">
        <v>7636</v>
      </c>
      <c r="C124">
        <v>1386</v>
      </c>
      <c r="D124">
        <v>7702</v>
      </c>
      <c r="E124">
        <f t="shared" si="4"/>
        <v>100.86432687270823</v>
      </c>
      <c r="F124">
        <f t="shared" si="5"/>
        <v>0.31705401559517443</v>
      </c>
      <c r="G124">
        <f t="shared" si="6"/>
        <v>0.15149616725711881</v>
      </c>
      <c r="H124">
        <f t="shared" si="7"/>
        <v>5.8693298204716146E-3</v>
      </c>
    </row>
    <row r="125" spans="1:8" x14ac:dyDescent="0.25">
      <c r="A125" t="s">
        <v>123</v>
      </c>
      <c r="B125">
        <v>113322</v>
      </c>
      <c r="C125">
        <v>7801</v>
      </c>
      <c r="D125">
        <v>75112</v>
      </c>
      <c r="E125">
        <f t="shared" si="4"/>
        <v>66.281922309878055</v>
      </c>
      <c r="F125">
        <f t="shared" si="5"/>
        <v>0.11900377558949278</v>
      </c>
      <c r="G125">
        <f t="shared" si="6"/>
        <v>1.4774318508201387</v>
      </c>
      <c r="H125">
        <f t="shared" si="7"/>
        <v>7.2287245415232668E-2</v>
      </c>
    </row>
    <row r="126" spans="1:8" x14ac:dyDescent="0.25">
      <c r="A126" t="s">
        <v>124</v>
      </c>
      <c r="B126">
        <v>2731</v>
      </c>
      <c r="C126">
        <v>736</v>
      </c>
      <c r="D126">
        <v>3159</v>
      </c>
      <c r="E126">
        <f t="shared" si="4"/>
        <v>115.67191504943244</v>
      </c>
      <c r="F126">
        <f t="shared" si="5"/>
        <v>0.40185570678403953</v>
      </c>
      <c r="G126">
        <f t="shared" si="6"/>
        <v>6.2136638842539386E-2</v>
      </c>
      <c r="H126">
        <f t="shared" si="7"/>
        <v>1.3931899221330979E-3</v>
      </c>
    </row>
    <row r="127" spans="1:8" x14ac:dyDescent="0.25">
      <c r="A127" t="s">
        <v>125</v>
      </c>
      <c r="B127">
        <v>6365</v>
      </c>
      <c r="C127">
        <v>311</v>
      </c>
      <c r="D127">
        <v>6008</v>
      </c>
      <c r="E127">
        <f t="shared" si="4"/>
        <v>94.391201885310295</v>
      </c>
      <c r="F127">
        <f t="shared" si="5"/>
        <v>0.27998302606893255</v>
      </c>
      <c r="G127">
        <f t="shared" si="6"/>
        <v>0.11817566513642817</v>
      </c>
      <c r="H127">
        <f t="shared" si="7"/>
        <v>4.200260705836914E-3</v>
      </c>
    </row>
    <row r="128" spans="1:8" x14ac:dyDescent="0.25">
      <c r="A128" t="s">
        <v>126</v>
      </c>
      <c r="B128">
        <v>46633</v>
      </c>
      <c r="C128">
        <v>5948</v>
      </c>
      <c r="D128">
        <v>33500</v>
      </c>
      <c r="E128">
        <f t="shared" si="4"/>
        <v>71.837539939527801</v>
      </c>
      <c r="F128">
        <f t="shared" si="5"/>
        <v>0.15082028513650508</v>
      </c>
      <c r="G128">
        <f t="shared" si="6"/>
        <v>0.65893554961224099</v>
      </c>
      <c r="H128">
        <f t="shared" si="7"/>
        <v>3.1287656278172926E-2</v>
      </c>
    </row>
    <row r="129" spans="1:8" x14ac:dyDescent="0.25">
      <c r="A129" t="s">
        <v>127</v>
      </c>
      <c r="B129">
        <v>111634</v>
      </c>
      <c r="C129">
        <v>6866</v>
      </c>
      <c r="D129">
        <v>73782</v>
      </c>
      <c r="E129">
        <f t="shared" si="4"/>
        <v>66.092767436444092</v>
      </c>
      <c r="F129">
        <f t="shared" si="5"/>
        <v>0.1179205030826959</v>
      </c>
      <c r="G129">
        <f t="shared" si="6"/>
        <v>1.4512711260146378</v>
      </c>
      <c r="H129">
        <f t="shared" si="7"/>
        <v>7.0976819250850059E-2</v>
      </c>
    </row>
    <row r="130" spans="1:8" x14ac:dyDescent="0.25">
      <c r="A130" t="s">
        <v>128</v>
      </c>
      <c r="B130">
        <v>2939</v>
      </c>
      <c r="C130">
        <v>422</v>
      </c>
      <c r="D130">
        <v>3167</v>
      </c>
      <c r="E130">
        <f t="shared" si="4"/>
        <v>107.75774072813881</v>
      </c>
      <c r="F130">
        <f t="shared" si="5"/>
        <v>0.35653196068849813</v>
      </c>
      <c r="G130">
        <f t="shared" si="6"/>
        <v>6.2293996585730364E-2</v>
      </c>
      <c r="H130">
        <f t="shared" si="7"/>
        <v>1.4010721847760007E-3</v>
      </c>
    </row>
    <row r="131" spans="1:8" x14ac:dyDescent="0.25">
      <c r="A131" t="s">
        <v>129</v>
      </c>
      <c r="B131">
        <v>2112</v>
      </c>
      <c r="C131">
        <v>728</v>
      </c>
      <c r="D131">
        <v>2727</v>
      </c>
      <c r="E131">
        <f t="shared" ref="E131:E194" si="8">(D131/B131)*100</f>
        <v>129.11931818181819</v>
      </c>
      <c r="F131">
        <f t="shared" ref="F131:F194" si="9">(E131-MIN(E:E))/(MAX(E:E)-MIN(E:E))</f>
        <v>0.47886774372853458</v>
      </c>
      <c r="G131">
        <f t="shared" ref="G131:G194" si="10">(D131/$C$249)*100</f>
        <v>5.3639320710226313E-2</v>
      </c>
      <c r="H131">
        <f t="shared" ref="H131:H194" si="11">(G131-MIN(G:G))/(MAX(G:G)-MIN(G:G))</f>
        <v>9.675477394163384E-4</v>
      </c>
    </row>
    <row r="132" spans="1:8" x14ac:dyDescent="0.25">
      <c r="A132" t="s">
        <v>130</v>
      </c>
      <c r="B132">
        <v>7247</v>
      </c>
      <c r="C132">
        <v>100</v>
      </c>
      <c r="D132">
        <v>5781</v>
      </c>
      <c r="E132">
        <f t="shared" si="8"/>
        <v>79.770939699185874</v>
      </c>
      <c r="F132">
        <f t="shared" si="9"/>
        <v>0.19625413354362442</v>
      </c>
      <c r="G132">
        <f t="shared" si="10"/>
        <v>0.11371063917338403</v>
      </c>
      <c r="H132">
        <f t="shared" si="11"/>
        <v>3.976601503344542E-3</v>
      </c>
    </row>
    <row r="133" spans="1:8" x14ac:dyDescent="0.25">
      <c r="A133" t="s">
        <v>131</v>
      </c>
      <c r="B133">
        <v>19926</v>
      </c>
      <c r="C133">
        <v>1967</v>
      </c>
      <c r="D133">
        <v>14864</v>
      </c>
      <c r="E133">
        <f t="shared" si="8"/>
        <v>74.596005219311451</v>
      </c>
      <c r="F133">
        <f t="shared" si="9"/>
        <v>0.16661776126966216</v>
      </c>
      <c r="G133">
        <f t="shared" si="10"/>
        <v>0.29237068684884626</v>
      </c>
      <c r="H133">
        <f t="shared" si="11"/>
        <v>1.2925925451530488E-2</v>
      </c>
    </row>
    <row r="134" spans="1:8" x14ac:dyDescent="0.25">
      <c r="A134" t="s">
        <v>132</v>
      </c>
      <c r="B134">
        <v>1435</v>
      </c>
      <c r="C134">
        <v>600</v>
      </c>
      <c r="D134">
        <v>1793</v>
      </c>
      <c r="E134">
        <f t="shared" si="8"/>
        <v>124.94773519163762</v>
      </c>
      <c r="F134">
        <f t="shared" si="9"/>
        <v>0.45497747285659879</v>
      </c>
      <c r="G134">
        <f t="shared" si="10"/>
        <v>3.5267804192679046E-2</v>
      </c>
      <c r="H134">
        <f t="shared" si="11"/>
        <v>4.7293575857417607E-5</v>
      </c>
    </row>
    <row r="135" spans="1:8" x14ac:dyDescent="0.25">
      <c r="A135" t="s">
        <v>133</v>
      </c>
      <c r="B135">
        <v>9123</v>
      </c>
      <c r="C135">
        <v>328</v>
      </c>
      <c r="D135">
        <v>7353</v>
      </c>
      <c r="E135">
        <f t="shared" si="8"/>
        <v>80.598487339690891</v>
      </c>
      <c r="F135">
        <f t="shared" si="9"/>
        <v>0.20099342252280411</v>
      </c>
      <c r="G135">
        <f t="shared" si="10"/>
        <v>0.14463143571041218</v>
      </c>
      <c r="H135">
        <f t="shared" si="11"/>
        <v>5.5254661126749732E-3</v>
      </c>
    </row>
    <row r="136" spans="1:8" x14ac:dyDescent="0.25">
      <c r="A136" t="s">
        <v>134</v>
      </c>
      <c r="B136">
        <v>221262</v>
      </c>
      <c r="C136">
        <v>32955</v>
      </c>
      <c r="D136">
        <v>136610</v>
      </c>
      <c r="E136">
        <f t="shared" si="8"/>
        <v>61.741284088546614</v>
      </c>
      <c r="F136">
        <f t="shared" si="9"/>
        <v>9.2999959461558729E-2</v>
      </c>
      <c r="G136">
        <f t="shared" si="10"/>
        <v>2.6870801621650222</v>
      </c>
      <c r="H136">
        <f t="shared" si="11"/>
        <v>0.13288016891688845</v>
      </c>
    </row>
    <row r="137" spans="1:8" x14ac:dyDescent="0.25">
      <c r="A137" t="s">
        <v>135</v>
      </c>
      <c r="B137">
        <v>2631</v>
      </c>
      <c r="C137">
        <v>494</v>
      </c>
      <c r="D137">
        <v>3500</v>
      </c>
      <c r="E137">
        <f t="shared" si="8"/>
        <v>133.0292664386165</v>
      </c>
      <c r="F137">
        <f t="shared" si="9"/>
        <v>0.50125965662348138</v>
      </c>
      <c r="G137">
        <f t="shared" si="10"/>
        <v>6.8844012646055025E-2</v>
      </c>
      <c r="H137">
        <f t="shared" si="11"/>
        <v>1.7291713672868362E-3</v>
      </c>
    </row>
    <row r="138" spans="1:8" x14ac:dyDescent="0.25">
      <c r="A138" t="s">
        <v>136</v>
      </c>
      <c r="B138">
        <v>8493</v>
      </c>
      <c r="C138">
        <v>3159</v>
      </c>
      <c r="D138">
        <v>6534</v>
      </c>
      <c r="E138">
        <f t="shared" si="8"/>
        <v>76.933945602260692</v>
      </c>
      <c r="F138">
        <f t="shared" si="9"/>
        <v>0.18000693012056806</v>
      </c>
      <c r="G138">
        <f t="shared" si="10"/>
        <v>0.1285219367512353</v>
      </c>
      <c r="H138">
        <f t="shared" si="11"/>
        <v>4.7185194746077828E-3</v>
      </c>
    </row>
    <row r="139" spans="1:8" x14ac:dyDescent="0.25">
      <c r="A139" t="s">
        <v>137</v>
      </c>
      <c r="B139">
        <v>10806</v>
      </c>
      <c r="C139">
        <v>1215</v>
      </c>
      <c r="D139">
        <v>9215</v>
      </c>
      <c r="E139">
        <f t="shared" si="8"/>
        <v>85.276698130668152</v>
      </c>
      <c r="F139">
        <f t="shared" si="9"/>
        <v>0.2277851040632502</v>
      </c>
      <c r="G139">
        <f t="shared" si="10"/>
        <v>0.18125645043811345</v>
      </c>
      <c r="H139">
        <f t="shared" si="11"/>
        <v>7.3600627428106365E-3</v>
      </c>
    </row>
    <row r="140" spans="1:8" x14ac:dyDescent="0.25">
      <c r="A140" t="s">
        <v>138</v>
      </c>
      <c r="B140">
        <v>2942</v>
      </c>
      <c r="C140">
        <v>414</v>
      </c>
      <c r="D140">
        <v>3013</v>
      </c>
      <c r="E140">
        <f t="shared" si="8"/>
        <v>102.41332426920462</v>
      </c>
      <c r="F140">
        <f t="shared" si="9"/>
        <v>0.32592498075859799</v>
      </c>
      <c r="G140">
        <f t="shared" si="10"/>
        <v>5.9264860029303944E-2</v>
      </c>
      <c r="H140">
        <f t="shared" si="11"/>
        <v>1.2493386289001188E-3</v>
      </c>
    </row>
    <row r="141" spans="1:8" x14ac:dyDescent="0.25">
      <c r="A141" t="s">
        <v>139</v>
      </c>
      <c r="B141">
        <v>4004</v>
      </c>
      <c r="C141">
        <v>1305</v>
      </c>
      <c r="D141">
        <v>3963</v>
      </c>
      <c r="E141">
        <f t="shared" si="8"/>
        <v>98.976023976023981</v>
      </c>
      <c r="F141">
        <f t="shared" si="9"/>
        <v>0.30623987913996392</v>
      </c>
      <c r="G141">
        <f t="shared" si="10"/>
        <v>7.7951092033233166E-2</v>
      </c>
      <c r="H141">
        <f t="shared" si="11"/>
        <v>2.1853573177448449E-3</v>
      </c>
    </row>
    <row r="142" spans="1:8" x14ac:dyDescent="0.25">
      <c r="A142" t="s">
        <v>140</v>
      </c>
      <c r="B142">
        <v>10145</v>
      </c>
      <c r="C142">
        <v>1353</v>
      </c>
      <c r="D142">
        <v>7572</v>
      </c>
      <c r="E142">
        <f t="shared" si="8"/>
        <v>74.637752587481515</v>
      </c>
      <c r="F142">
        <f t="shared" si="9"/>
        <v>0.16685684459513378</v>
      </c>
      <c r="G142">
        <f t="shared" si="10"/>
        <v>0.14893910393026535</v>
      </c>
      <c r="H142">
        <f t="shared" si="11"/>
        <v>5.7412430525244423E-3</v>
      </c>
    </row>
    <row r="143" spans="1:8" x14ac:dyDescent="0.25">
      <c r="A143" t="s">
        <v>141</v>
      </c>
      <c r="B143">
        <v>2626</v>
      </c>
      <c r="C143">
        <v>647</v>
      </c>
      <c r="D143">
        <v>3361</v>
      </c>
      <c r="E143">
        <f t="shared" si="8"/>
        <v>127.98933739527799</v>
      </c>
      <c r="F143">
        <f t="shared" si="9"/>
        <v>0.47239644802758052</v>
      </c>
      <c r="G143">
        <f t="shared" si="10"/>
        <v>6.6109921858111709E-2</v>
      </c>
      <c r="H143">
        <f t="shared" si="11"/>
        <v>1.5922170538663978E-3</v>
      </c>
    </row>
    <row r="144" spans="1:8" x14ac:dyDescent="0.25">
      <c r="A144" t="s">
        <v>142</v>
      </c>
      <c r="B144">
        <v>26616</v>
      </c>
      <c r="C144">
        <v>2346</v>
      </c>
      <c r="D144">
        <v>22484</v>
      </c>
      <c r="E144">
        <f t="shared" si="8"/>
        <v>84.47550345656748</v>
      </c>
      <c r="F144">
        <f t="shared" si="9"/>
        <v>0.22319673609107454</v>
      </c>
      <c r="G144">
        <f t="shared" si="10"/>
        <v>0.44225393723825751</v>
      </c>
      <c r="H144">
        <f t="shared" si="11"/>
        <v>2.0433780618895558E-2</v>
      </c>
    </row>
    <row r="145" spans="1:8" x14ac:dyDescent="0.25">
      <c r="A145" t="s">
        <v>143</v>
      </c>
      <c r="B145">
        <v>74999</v>
      </c>
      <c r="C145">
        <v>4255</v>
      </c>
      <c r="D145">
        <v>51875</v>
      </c>
      <c r="E145">
        <f t="shared" si="8"/>
        <v>69.167588901185354</v>
      </c>
      <c r="F145">
        <f t="shared" si="9"/>
        <v>0.13552972189685436</v>
      </c>
      <c r="G145">
        <f t="shared" si="10"/>
        <v>1.0203666160040299</v>
      </c>
      <c r="H145">
        <f t="shared" si="11"/>
        <v>4.9392228286090661E-2</v>
      </c>
    </row>
    <row r="146" spans="1:8" x14ac:dyDescent="0.25">
      <c r="A146" t="s">
        <v>144</v>
      </c>
      <c r="B146">
        <v>1687</v>
      </c>
      <c r="C146">
        <v>240</v>
      </c>
      <c r="D146">
        <v>2519</v>
      </c>
      <c r="E146">
        <f t="shared" si="8"/>
        <v>149.31831653823355</v>
      </c>
      <c r="F146">
        <f t="shared" si="9"/>
        <v>0.59454554354995459</v>
      </c>
      <c r="G146">
        <f t="shared" si="10"/>
        <v>4.954801938726075E-2</v>
      </c>
      <c r="H146">
        <f t="shared" si="11"/>
        <v>7.626089107008612E-4</v>
      </c>
    </row>
    <row r="147" spans="1:8" x14ac:dyDescent="0.25">
      <c r="A147" t="s">
        <v>145</v>
      </c>
      <c r="B147">
        <v>6534</v>
      </c>
      <c r="C147">
        <v>3466</v>
      </c>
      <c r="D147">
        <v>5641</v>
      </c>
      <c r="E147">
        <f t="shared" si="8"/>
        <v>86.333027242118149</v>
      </c>
      <c r="F147">
        <f t="shared" si="9"/>
        <v>0.23383460341681797</v>
      </c>
      <c r="G147">
        <f t="shared" si="10"/>
        <v>0.11095687866754184</v>
      </c>
      <c r="H147">
        <f t="shared" si="11"/>
        <v>3.8386619070937401E-3</v>
      </c>
    </row>
    <row r="148" spans="1:8" x14ac:dyDescent="0.25">
      <c r="A148" t="s">
        <v>146</v>
      </c>
      <c r="B148">
        <v>9024</v>
      </c>
      <c r="C148">
        <v>345</v>
      </c>
      <c r="D148">
        <v>7116</v>
      </c>
      <c r="E148">
        <f t="shared" si="8"/>
        <v>78.856382978723403</v>
      </c>
      <c r="F148">
        <f t="shared" si="9"/>
        <v>0.19101655159187428</v>
      </c>
      <c r="G148">
        <f t="shared" si="10"/>
        <v>0.13996971256837931</v>
      </c>
      <c r="H148">
        <f t="shared" si="11"/>
        <v>5.291954081878973E-3</v>
      </c>
    </row>
    <row r="149" spans="1:8" x14ac:dyDescent="0.25">
      <c r="A149" t="s">
        <v>147</v>
      </c>
      <c r="B149">
        <v>13094</v>
      </c>
      <c r="C149">
        <v>971</v>
      </c>
      <c r="D149">
        <v>9861</v>
      </c>
      <c r="E149">
        <f t="shared" si="8"/>
        <v>75.309301970368097</v>
      </c>
      <c r="F149">
        <f t="shared" si="9"/>
        <v>0.17070274594692428</v>
      </c>
      <c r="G149">
        <f t="shared" si="10"/>
        <v>0.19396308820078534</v>
      </c>
      <c r="H149">
        <f t="shared" si="11"/>
        <v>7.9965554512250511E-3</v>
      </c>
    </row>
    <row r="150" spans="1:8" x14ac:dyDescent="0.25">
      <c r="A150" t="s">
        <v>148</v>
      </c>
      <c r="B150">
        <v>3743</v>
      </c>
      <c r="C150">
        <v>1443</v>
      </c>
      <c r="D150">
        <v>3728</v>
      </c>
      <c r="E150">
        <f t="shared" si="8"/>
        <v>99.599251936948974</v>
      </c>
      <c r="F150">
        <f t="shared" si="9"/>
        <v>0.30980904816680804</v>
      </c>
      <c r="G150">
        <f t="shared" si="10"/>
        <v>7.3328708326998046E-2</v>
      </c>
      <c r="H150">
        <f t="shared" si="11"/>
        <v>1.9538158526095709E-3</v>
      </c>
    </row>
    <row r="151" spans="1:8" x14ac:dyDescent="0.25">
      <c r="A151" t="s">
        <v>149</v>
      </c>
      <c r="B151">
        <v>54326</v>
      </c>
      <c r="C151">
        <v>822</v>
      </c>
      <c r="D151">
        <v>37229</v>
      </c>
      <c r="E151">
        <f t="shared" si="8"/>
        <v>68.52888119868939</v>
      </c>
      <c r="F151">
        <f t="shared" si="9"/>
        <v>0.13187190181835226</v>
      </c>
      <c r="G151">
        <f t="shared" si="10"/>
        <v>0.73228392765713801</v>
      </c>
      <c r="H151">
        <f t="shared" si="11"/>
        <v>3.4961775952596072E-2</v>
      </c>
    </row>
    <row r="152" spans="1:8" x14ac:dyDescent="0.25">
      <c r="A152" t="s">
        <v>150</v>
      </c>
      <c r="B152">
        <v>2505</v>
      </c>
      <c r="C152">
        <v>554</v>
      </c>
      <c r="D152">
        <v>3069</v>
      </c>
      <c r="E152">
        <f t="shared" si="8"/>
        <v>122.51497005988024</v>
      </c>
      <c r="F152">
        <f t="shared" si="9"/>
        <v>0.44104525141876794</v>
      </c>
      <c r="G152">
        <f t="shared" si="10"/>
        <v>6.0366364231640823E-2</v>
      </c>
      <c r="H152">
        <f t="shared" si="11"/>
        <v>1.3045144674004394E-3</v>
      </c>
    </row>
    <row r="153" spans="1:8" x14ac:dyDescent="0.25">
      <c r="A153" t="s">
        <v>151</v>
      </c>
      <c r="B153">
        <v>4626</v>
      </c>
      <c r="C153">
        <v>277</v>
      </c>
      <c r="D153">
        <v>4659</v>
      </c>
      <c r="E153">
        <f t="shared" si="8"/>
        <v>100.71335927367056</v>
      </c>
      <c r="F153">
        <f t="shared" si="9"/>
        <v>0.31618943808529737</v>
      </c>
      <c r="G153">
        <f t="shared" si="10"/>
        <v>9.1641215690848682E-2</v>
      </c>
      <c r="H153">
        <f t="shared" si="11"/>
        <v>2.8711141676774025E-3</v>
      </c>
    </row>
    <row r="154" spans="1:8" x14ac:dyDescent="0.25">
      <c r="A154" t="s">
        <v>152</v>
      </c>
      <c r="B154">
        <v>15199</v>
      </c>
      <c r="C154">
        <v>2991</v>
      </c>
      <c r="D154">
        <v>12361</v>
      </c>
      <c r="E154">
        <f t="shared" si="8"/>
        <v>81.327718928876905</v>
      </c>
      <c r="F154">
        <f t="shared" si="9"/>
        <v>0.20516966454772231</v>
      </c>
      <c r="G154">
        <f t="shared" si="10"/>
        <v>0.24313738294796752</v>
      </c>
      <c r="H154">
        <f t="shared" si="11"/>
        <v>1.0459762527132226E-2</v>
      </c>
    </row>
    <row r="155" spans="1:8" x14ac:dyDescent="0.25">
      <c r="A155" t="s">
        <v>153</v>
      </c>
      <c r="B155">
        <v>6202</v>
      </c>
      <c r="C155">
        <v>758</v>
      </c>
      <c r="D155">
        <v>5376</v>
      </c>
      <c r="E155">
        <f t="shared" si="8"/>
        <v>86.681715575620771</v>
      </c>
      <c r="F155">
        <f t="shared" si="9"/>
        <v>0.2358315093292426</v>
      </c>
      <c r="G155">
        <f t="shared" si="10"/>
        <v>0.10574440342434052</v>
      </c>
      <c r="H155">
        <f t="shared" si="11"/>
        <v>3.5775619570475796E-3</v>
      </c>
    </row>
    <row r="156" spans="1:8" x14ac:dyDescent="0.25">
      <c r="A156" t="s">
        <v>154</v>
      </c>
      <c r="B156">
        <v>3540</v>
      </c>
      <c r="C156">
        <v>747</v>
      </c>
      <c r="D156">
        <v>3638</v>
      </c>
      <c r="E156">
        <f t="shared" si="8"/>
        <v>102.76836158192091</v>
      </c>
      <c r="F156">
        <f t="shared" si="9"/>
        <v>0.32795824668915763</v>
      </c>
      <c r="G156">
        <f t="shared" si="10"/>
        <v>7.155843371609949E-2</v>
      </c>
      <c r="H156">
        <f t="shared" si="11"/>
        <v>1.8651403978769126E-3</v>
      </c>
    </row>
    <row r="157" spans="1:8" x14ac:dyDescent="0.25">
      <c r="A157" t="s">
        <v>155</v>
      </c>
      <c r="B157">
        <v>8349</v>
      </c>
      <c r="C157">
        <v>1078</v>
      </c>
      <c r="D157">
        <v>7709</v>
      </c>
      <c r="E157">
        <f t="shared" si="8"/>
        <v>92.33441130674332</v>
      </c>
      <c r="F157">
        <f t="shared" si="9"/>
        <v>0.26820397620597308</v>
      </c>
      <c r="G157">
        <f t="shared" si="10"/>
        <v>0.15163385528241094</v>
      </c>
      <c r="H157">
        <f t="shared" si="11"/>
        <v>5.8762268002841558E-3</v>
      </c>
    </row>
    <row r="158" spans="1:8" x14ac:dyDescent="0.25">
      <c r="A158" t="s">
        <v>156</v>
      </c>
      <c r="B158">
        <v>34273</v>
      </c>
      <c r="C158">
        <v>1741</v>
      </c>
      <c r="D158">
        <v>25888</v>
      </c>
      <c r="E158">
        <f t="shared" si="8"/>
        <v>75.534677442885069</v>
      </c>
      <c r="F158">
        <f t="shared" si="9"/>
        <v>0.17199345048258735</v>
      </c>
      <c r="G158">
        <f t="shared" si="10"/>
        <v>0.50920965696602083</v>
      </c>
      <c r="H158">
        <f t="shared" si="11"/>
        <v>2.3787683373450771E-2</v>
      </c>
    </row>
    <row r="159" spans="1:8" x14ac:dyDescent="0.25">
      <c r="A159" t="s">
        <v>157</v>
      </c>
      <c r="B159">
        <v>33890</v>
      </c>
      <c r="C159">
        <v>1045</v>
      </c>
      <c r="D159">
        <v>28313</v>
      </c>
      <c r="E159">
        <f t="shared" si="8"/>
        <v>83.543818235467697</v>
      </c>
      <c r="F159">
        <f t="shared" si="9"/>
        <v>0.21786106079662479</v>
      </c>
      <c r="G159">
        <f t="shared" si="10"/>
        <v>0.55690872287078741</v>
      </c>
      <c r="H159">
        <f t="shared" si="11"/>
        <v>2.6176994237080718E-2</v>
      </c>
    </row>
    <row r="160" spans="1:8" x14ac:dyDescent="0.25">
      <c r="A160" t="s">
        <v>158</v>
      </c>
      <c r="B160">
        <v>2380</v>
      </c>
      <c r="C160">
        <v>721</v>
      </c>
      <c r="D160">
        <v>2776</v>
      </c>
      <c r="E160">
        <f t="shared" si="8"/>
        <v>116.63865546218489</v>
      </c>
      <c r="F160">
        <f t="shared" si="9"/>
        <v>0.40739213992653422</v>
      </c>
      <c r="G160">
        <f t="shared" si="10"/>
        <v>5.460313688727108E-2</v>
      </c>
      <c r="H160">
        <f t="shared" si="11"/>
        <v>1.0158265981041188E-3</v>
      </c>
    </row>
    <row r="161" spans="1:8" x14ac:dyDescent="0.25">
      <c r="A161" t="s">
        <v>159</v>
      </c>
      <c r="B161">
        <v>2132</v>
      </c>
      <c r="C161">
        <v>251</v>
      </c>
      <c r="D161">
        <v>2336</v>
      </c>
      <c r="E161">
        <f t="shared" si="8"/>
        <v>109.56848030018762</v>
      </c>
      <c r="F161">
        <f t="shared" si="9"/>
        <v>0.36690189914030552</v>
      </c>
      <c r="G161">
        <f t="shared" si="10"/>
        <v>4.5948461011767014E-2</v>
      </c>
      <c r="H161">
        <f t="shared" si="11"/>
        <v>5.8230215274445601E-4</v>
      </c>
    </row>
    <row r="162" spans="1:8" x14ac:dyDescent="0.25">
      <c r="A162" t="s">
        <v>160</v>
      </c>
      <c r="B162">
        <v>13153</v>
      </c>
      <c r="C162">
        <v>1187</v>
      </c>
      <c r="D162">
        <v>9352</v>
      </c>
      <c r="E162">
        <f t="shared" si="8"/>
        <v>71.101649813730702</v>
      </c>
      <c r="F162">
        <f t="shared" si="9"/>
        <v>0.14660591028679976</v>
      </c>
      <c r="G162">
        <f t="shared" si="10"/>
        <v>0.18395120179025903</v>
      </c>
      <c r="H162">
        <f t="shared" si="11"/>
        <v>7.4950464905703491E-3</v>
      </c>
    </row>
    <row r="163" spans="1:8" x14ac:dyDescent="0.25">
      <c r="A163" t="s">
        <v>161</v>
      </c>
      <c r="B163">
        <v>8356</v>
      </c>
      <c r="C163">
        <v>1673</v>
      </c>
      <c r="D163">
        <v>6905</v>
      </c>
      <c r="E163">
        <f t="shared" si="8"/>
        <v>82.635232168501673</v>
      </c>
      <c r="F163">
        <f t="shared" si="9"/>
        <v>0.21265767222653537</v>
      </c>
      <c r="G163">
        <f t="shared" si="10"/>
        <v>0.13581940209171714</v>
      </c>
      <c r="H163">
        <f t="shared" si="11"/>
        <v>5.0840594046724077E-3</v>
      </c>
    </row>
    <row r="164" spans="1:8" x14ac:dyDescent="0.25">
      <c r="A164" t="s">
        <v>162</v>
      </c>
      <c r="B164">
        <v>3084</v>
      </c>
      <c r="C164">
        <v>373</v>
      </c>
      <c r="D164">
        <v>2686</v>
      </c>
      <c r="E164">
        <f t="shared" si="8"/>
        <v>87.094682230868997</v>
      </c>
      <c r="F164">
        <f t="shared" si="9"/>
        <v>0.23819653125933019</v>
      </c>
      <c r="G164">
        <f t="shared" si="10"/>
        <v>5.2832862276372516E-2</v>
      </c>
      <c r="H164">
        <f t="shared" si="11"/>
        <v>9.271511433714604E-4</v>
      </c>
    </row>
    <row r="165" spans="1:8" x14ac:dyDescent="0.25">
      <c r="A165" t="s">
        <v>163</v>
      </c>
      <c r="B165">
        <v>3022</v>
      </c>
      <c r="C165">
        <v>924</v>
      </c>
      <c r="D165">
        <v>3033</v>
      </c>
      <c r="E165">
        <f t="shared" si="8"/>
        <v>100.36399735274652</v>
      </c>
      <c r="F165">
        <f t="shared" si="9"/>
        <v>0.31418867459986238</v>
      </c>
      <c r="G165">
        <f t="shared" si="10"/>
        <v>5.9658254387281395E-2</v>
      </c>
      <c r="H165">
        <f t="shared" si="11"/>
        <v>1.269044285507376E-3</v>
      </c>
    </row>
    <row r="166" spans="1:8" x14ac:dyDescent="0.25">
      <c r="A166" t="s">
        <v>164</v>
      </c>
      <c r="B166">
        <v>9883</v>
      </c>
      <c r="C166">
        <v>1067</v>
      </c>
      <c r="D166">
        <v>8565</v>
      </c>
      <c r="E166">
        <f t="shared" si="8"/>
        <v>86.663968430638477</v>
      </c>
      <c r="F166">
        <f t="shared" si="9"/>
        <v>0.23572987306746174</v>
      </c>
      <c r="G166">
        <f t="shared" si="10"/>
        <v>0.1684711338038461</v>
      </c>
      <c r="H166">
        <f t="shared" si="11"/>
        <v>6.7196289030747713E-3</v>
      </c>
    </row>
    <row r="167" spans="1:8" x14ac:dyDescent="0.25">
      <c r="A167" t="s">
        <v>165</v>
      </c>
      <c r="B167">
        <v>3567</v>
      </c>
      <c r="C167">
        <v>837</v>
      </c>
      <c r="D167">
        <v>3627</v>
      </c>
      <c r="E167">
        <f t="shared" si="8"/>
        <v>101.6820857863751</v>
      </c>
      <c r="F167">
        <f t="shared" si="9"/>
        <v>0.32173724543895987</v>
      </c>
      <c r="G167">
        <f t="shared" si="10"/>
        <v>7.1342066819211875E-2</v>
      </c>
      <c r="H167">
        <f t="shared" si="11"/>
        <v>1.8543022867429204E-3</v>
      </c>
    </row>
    <row r="168" spans="1:8" x14ac:dyDescent="0.25">
      <c r="A168" t="s">
        <v>166</v>
      </c>
      <c r="B168">
        <v>107663</v>
      </c>
      <c r="C168">
        <v>13666</v>
      </c>
      <c r="D168">
        <v>58693</v>
      </c>
      <c r="E168">
        <f t="shared" si="8"/>
        <v>54.515478855317056</v>
      </c>
      <c r="F168">
        <f t="shared" si="9"/>
        <v>5.1618439617401674E-2</v>
      </c>
      <c r="G168">
        <f t="shared" si="10"/>
        <v>1.1544747526385453</v>
      </c>
      <c r="H168">
        <f t="shared" si="11"/>
        <v>5.6109886623504718E-2</v>
      </c>
    </row>
    <row r="169" spans="1:8" x14ac:dyDescent="0.25">
      <c r="A169" t="s">
        <v>167</v>
      </c>
      <c r="B169">
        <v>3703</v>
      </c>
      <c r="C169">
        <v>663</v>
      </c>
      <c r="D169">
        <v>4141</v>
      </c>
      <c r="E169">
        <f t="shared" si="8"/>
        <v>111.82824736699972</v>
      </c>
      <c r="F169">
        <f t="shared" si="9"/>
        <v>0.37984337662276213</v>
      </c>
      <c r="G169">
        <f t="shared" si="10"/>
        <v>8.1452301819232548E-2</v>
      </c>
      <c r="H169">
        <f t="shared" si="11"/>
        <v>2.3607376615494362E-3</v>
      </c>
    </row>
    <row r="170" spans="1:8" x14ac:dyDescent="0.25">
      <c r="A170" t="s">
        <v>168</v>
      </c>
      <c r="B170">
        <v>17035</v>
      </c>
      <c r="C170">
        <v>1049</v>
      </c>
      <c r="D170">
        <v>12113</v>
      </c>
      <c r="E170">
        <f t="shared" si="8"/>
        <v>71.106545347813324</v>
      </c>
      <c r="F170">
        <f t="shared" si="9"/>
        <v>0.14663394655877898</v>
      </c>
      <c r="G170">
        <f t="shared" si="10"/>
        <v>0.23825929290904702</v>
      </c>
      <c r="H170">
        <f t="shared" si="11"/>
        <v>1.0215412385202233E-2</v>
      </c>
    </row>
    <row r="171" spans="1:8" x14ac:dyDescent="0.25">
      <c r="A171" t="s">
        <v>169</v>
      </c>
      <c r="B171">
        <v>4109</v>
      </c>
      <c r="C171">
        <v>484</v>
      </c>
      <c r="D171">
        <v>3774</v>
      </c>
      <c r="E171">
        <f t="shared" si="8"/>
        <v>91.847164760282311</v>
      </c>
      <c r="F171">
        <f t="shared" si="9"/>
        <v>0.26541356019273082</v>
      </c>
      <c r="G171">
        <f t="shared" si="10"/>
        <v>7.4233515350346196E-2</v>
      </c>
      <c r="H171">
        <f t="shared" si="11"/>
        <v>1.9991388628062628E-3</v>
      </c>
    </row>
    <row r="172" spans="1:8" x14ac:dyDescent="0.25">
      <c r="A172" t="s">
        <v>170</v>
      </c>
      <c r="B172">
        <v>7665</v>
      </c>
      <c r="C172">
        <v>329</v>
      </c>
      <c r="D172">
        <v>10518</v>
      </c>
      <c r="E172">
        <f t="shared" si="8"/>
        <v>137.2211350293542</v>
      </c>
      <c r="F172">
        <f t="shared" si="9"/>
        <v>0.52526610125805118</v>
      </c>
      <c r="G172">
        <f t="shared" si="10"/>
        <v>0.20688609286034482</v>
      </c>
      <c r="H172">
        <f t="shared" si="11"/>
        <v>8.6438862707734574E-3</v>
      </c>
    </row>
    <row r="173" spans="1:8" x14ac:dyDescent="0.25">
      <c r="A173" t="s">
        <v>171</v>
      </c>
      <c r="B173">
        <v>37207</v>
      </c>
      <c r="C173">
        <v>3503</v>
      </c>
      <c r="D173">
        <v>20395</v>
      </c>
      <c r="E173">
        <f t="shared" si="8"/>
        <v>54.8149541752896</v>
      </c>
      <c r="F173">
        <f t="shared" si="9"/>
        <v>5.3333507142234497E-2</v>
      </c>
      <c r="G173">
        <f t="shared" si="10"/>
        <v>0.40116389654751217</v>
      </c>
      <c r="H173">
        <f t="shared" si="11"/>
        <v>1.8375524786267524E-2</v>
      </c>
    </row>
    <row r="174" spans="1:8" x14ac:dyDescent="0.25">
      <c r="A174" t="s">
        <v>172</v>
      </c>
      <c r="B174">
        <v>3113</v>
      </c>
      <c r="C174">
        <v>289</v>
      </c>
      <c r="D174">
        <v>3588</v>
      </c>
      <c r="E174">
        <f t="shared" si="8"/>
        <v>115.25859299710891</v>
      </c>
      <c r="F174">
        <f t="shared" si="9"/>
        <v>0.3994886495276942</v>
      </c>
      <c r="G174">
        <f t="shared" si="10"/>
        <v>7.0574947821155851E-2</v>
      </c>
      <c r="H174">
        <f t="shared" si="11"/>
        <v>1.8158762563587694E-3</v>
      </c>
    </row>
    <row r="175" spans="1:8" x14ac:dyDescent="0.25">
      <c r="A175" t="s">
        <v>173</v>
      </c>
      <c r="B175">
        <v>34375</v>
      </c>
      <c r="C175">
        <v>2470</v>
      </c>
      <c r="D175">
        <v>23500</v>
      </c>
      <c r="E175">
        <f t="shared" si="8"/>
        <v>68.36363636363636</v>
      </c>
      <c r="F175">
        <f t="shared" si="9"/>
        <v>0.13092555989517876</v>
      </c>
      <c r="G175">
        <f t="shared" si="10"/>
        <v>0.46223837062351231</v>
      </c>
      <c r="H175">
        <f t="shared" si="11"/>
        <v>2.143482797454423E-2</v>
      </c>
    </row>
    <row r="176" spans="1:8" x14ac:dyDescent="0.25">
      <c r="A176" t="s">
        <v>174</v>
      </c>
      <c r="B176">
        <v>2266</v>
      </c>
      <c r="C176">
        <v>281</v>
      </c>
      <c r="D176">
        <v>2414</v>
      </c>
      <c r="E176">
        <f t="shared" si="8"/>
        <v>106.53133274492497</v>
      </c>
      <c r="F176">
        <f t="shared" si="9"/>
        <v>0.34950843532955161</v>
      </c>
      <c r="G176">
        <f t="shared" si="10"/>
        <v>4.7482699007879103E-2</v>
      </c>
      <c r="H176">
        <f t="shared" si="11"/>
        <v>6.5915421351276011E-4</v>
      </c>
    </row>
    <row r="177" spans="1:8" x14ac:dyDescent="0.25">
      <c r="A177" t="s">
        <v>175</v>
      </c>
      <c r="B177">
        <v>3959</v>
      </c>
      <c r="C177">
        <v>505</v>
      </c>
      <c r="D177">
        <v>4443</v>
      </c>
      <c r="E177">
        <f t="shared" si="8"/>
        <v>112.2253094215711</v>
      </c>
      <c r="F177">
        <f t="shared" si="9"/>
        <v>0.38211731437229424</v>
      </c>
      <c r="G177">
        <f t="shared" si="10"/>
        <v>8.7392556624692141E-2</v>
      </c>
      <c r="H177">
        <f t="shared" si="11"/>
        <v>2.6582930763190227E-3</v>
      </c>
    </row>
    <row r="178" spans="1:8" x14ac:dyDescent="0.25">
      <c r="A178" t="s">
        <v>176</v>
      </c>
      <c r="B178">
        <v>2432</v>
      </c>
      <c r="C178">
        <v>277</v>
      </c>
      <c r="D178">
        <v>3042</v>
      </c>
      <c r="E178">
        <f t="shared" si="8"/>
        <v>125.08223684210526</v>
      </c>
      <c r="F178">
        <f t="shared" si="9"/>
        <v>0.45574775139833179</v>
      </c>
      <c r="G178">
        <f t="shared" si="10"/>
        <v>5.9835281848371259E-2</v>
      </c>
      <c r="H178">
        <f t="shared" si="11"/>
        <v>1.2779118309806422E-3</v>
      </c>
    </row>
    <row r="179" spans="1:8" x14ac:dyDescent="0.25">
      <c r="A179" t="s">
        <v>177</v>
      </c>
      <c r="B179">
        <v>7356</v>
      </c>
      <c r="C179">
        <v>426</v>
      </c>
      <c r="D179">
        <v>7193</v>
      </c>
      <c r="E179">
        <f t="shared" si="8"/>
        <v>97.784121805328979</v>
      </c>
      <c r="F179">
        <f t="shared" si="9"/>
        <v>0.29941396538545434</v>
      </c>
      <c r="G179">
        <f t="shared" si="10"/>
        <v>0.14148428084659251</v>
      </c>
      <c r="H179">
        <f t="shared" si="11"/>
        <v>5.3678208598169136E-3</v>
      </c>
    </row>
    <row r="180" spans="1:8" x14ac:dyDescent="0.25">
      <c r="A180" t="s">
        <v>178</v>
      </c>
      <c r="B180">
        <v>10727</v>
      </c>
      <c r="C180">
        <v>426</v>
      </c>
      <c r="D180">
        <v>9290</v>
      </c>
      <c r="E180">
        <f t="shared" si="8"/>
        <v>86.60389670923837</v>
      </c>
      <c r="F180">
        <f t="shared" si="9"/>
        <v>0.23538584786183353</v>
      </c>
      <c r="G180">
        <f t="shared" si="10"/>
        <v>0.18273167928052894</v>
      </c>
      <c r="H180">
        <f t="shared" si="11"/>
        <v>7.4339589550878526E-3</v>
      </c>
    </row>
    <row r="181" spans="1:8" x14ac:dyDescent="0.25">
      <c r="A181" t="s">
        <v>179</v>
      </c>
      <c r="B181">
        <v>2999</v>
      </c>
      <c r="C181">
        <v>70</v>
      </c>
      <c r="D181">
        <v>3156</v>
      </c>
      <c r="E181">
        <f t="shared" si="8"/>
        <v>105.23507835945315</v>
      </c>
      <c r="F181">
        <f t="shared" si="9"/>
        <v>0.34208490606961572</v>
      </c>
      <c r="G181">
        <f t="shared" si="10"/>
        <v>6.2077629688842763E-2</v>
      </c>
      <c r="H181">
        <f t="shared" si="11"/>
        <v>1.3902340736420091E-3</v>
      </c>
    </row>
    <row r="182" spans="1:8" x14ac:dyDescent="0.25">
      <c r="A182" t="s">
        <v>180</v>
      </c>
      <c r="B182">
        <v>9519</v>
      </c>
      <c r="C182">
        <v>974</v>
      </c>
      <c r="D182">
        <v>7546</v>
      </c>
      <c r="E182">
        <f t="shared" si="8"/>
        <v>79.273032881605204</v>
      </c>
      <c r="F182">
        <f t="shared" si="9"/>
        <v>0.19340266714130533</v>
      </c>
      <c r="G182">
        <f t="shared" si="10"/>
        <v>0.14842769126489466</v>
      </c>
      <c r="H182">
        <f t="shared" si="11"/>
        <v>5.7156256989350082E-3</v>
      </c>
    </row>
    <row r="183" spans="1:8" x14ac:dyDescent="0.25">
      <c r="A183" t="s">
        <v>181</v>
      </c>
      <c r="B183">
        <v>2254</v>
      </c>
      <c r="C183">
        <v>470</v>
      </c>
      <c r="D183">
        <v>3959</v>
      </c>
      <c r="E183">
        <f t="shared" si="8"/>
        <v>175.6433007985803</v>
      </c>
      <c r="F183">
        <f t="shared" si="9"/>
        <v>0.74530629939719895</v>
      </c>
      <c r="G183">
        <f t="shared" si="10"/>
        <v>7.7872413161637677E-2</v>
      </c>
      <c r="H183">
        <f t="shared" si="11"/>
        <v>2.1814161864233935E-3</v>
      </c>
    </row>
    <row r="184" spans="1:8" x14ac:dyDescent="0.25">
      <c r="A184" t="s">
        <v>182</v>
      </c>
      <c r="B184">
        <v>25373</v>
      </c>
      <c r="C184">
        <v>1891</v>
      </c>
      <c r="D184">
        <v>18871</v>
      </c>
      <c r="E184">
        <f t="shared" si="8"/>
        <v>74.374334922949586</v>
      </c>
      <c r="F184">
        <f t="shared" si="9"/>
        <v>0.16534827593596199</v>
      </c>
      <c r="G184">
        <f t="shared" si="10"/>
        <v>0.37118724646962986</v>
      </c>
      <c r="H184">
        <f t="shared" si="11"/>
        <v>1.6873953752794508E-2</v>
      </c>
    </row>
    <row r="185" spans="1:8" x14ac:dyDescent="0.25">
      <c r="A185" t="s">
        <v>183</v>
      </c>
      <c r="B185">
        <v>11940</v>
      </c>
      <c r="C185">
        <v>1548</v>
      </c>
      <c r="D185">
        <v>9131</v>
      </c>
      <c r="E185">
        <f t="shared" si="8"/>
        <v>76.474036850921266</v>
      </c>
      <c r="F185">
        <f t="shared" si="9"/>
        <v>0.17737307513752312</v>
      </c>
      <c r="G185">
        <f t="shared" si="10"/>
        <v>0.17960419413460812</v>
      </c>
      <c r="H185">
        <f t="shared" si="11"/>
        <v>7.2772989850601547E-3</v>
      </c>
    </row>
    <row r="186" spans="1:8" x14ac:dyDescent="0.25">
      <c r="A186" t="s">
        <v>184</v>
      </c>
      <c r="B186">
        <v>28028</v>
      </c>
      <c r="C186">
        <v>762</v>
      </c>
      <c r="D186">
        <v>20796</v>
      </c>
      <c r="E186">
        <f t="shared" si="8"/>
        <v>74.197231340088493</v>
      </c>
      <c r="F186">
        <f t="shared" si="9"/>
        <v>0.16433402005830086</v>
      </c>
      <c r="G186">
        <f t="shared" si="10"/>
        <v>0.40905145342496013</v>
      </c>
      <c r="H186">
        <f t="shared" si="11"/>
        <v>1.8770623201243033E-2</v>
      </c>
    </row>
    <row r="187" spans="1:8" x14ac:dyDescent="0.25">
      <c r="A187" t="s">
        <v>185</v>
      </c>
      <c r="B187">
        <v>33736</v>
      </c>
      <c r="C187">
        <v>2255</v>
      </c>
      <c r="D187">
        <v>22106</v>
      </c>
      <c r="E187">
        <f t="shared" si="8"/>
        <v>65.526440597581214</v>
      </c>
      <c r="F187">
        <f t="shared" si="9"/>
        <v>0.11467720153162315</v>
      </c>
      <c r="G187">
        <f t="shared" si="10"/>
        <v>0.43481878387248363</v>
      </c>
      <c r="H187">
        <f t="shared" si="11"/>
        <v>2.0061343709018395E-2</v>
      </c>
    </row>
    <row r="188" spans="1:8" x14ac:dyDescent="0.25">
      <c r="A188" t="s">
        <v>186</v>
      </c>
      <c r="B188">
        <v>112304</v>
      </c>
      <c r="C188">
        <v>20367</v>
      </c>
      <c r="D188">
        <v>66674</v>
      </c>
      <c r="E188">
        <f t="shared" si="8"/>
        <v>59.369212138481267</v>
      </c>
      <c r="F188">
        <f t="shared" si="9"/>
        <v>7.9415322275105643E-2</v>
      </c>
      <c r="G188">
        <f t="shared" si="10"/>
        <v>1.3114587711894494</v>
      </c>
      <c r="H188">
        <f t="shared" si="11"/>
        <v>6.3973428892630774E-2</v>
      </c>
    </row>
    <row r="189" spans="1:8" x14ac:dyDescent="0.25">
      <c r="A189" t="s">
        <v>187</v>
      </c>
      <c r="B189">
        <v>18763</v>
      </c>
      <c r="C189">
        <v>482</v>
      </c>
      <c r="D189">
        <v>14391</v>
      </c>
      <c r="E189">
        <f t="shared" si="8"/>
        <v>76.698822149976024</v>
      </c>
      <c r="F189">
        <f t="shared" si="9"/>
        <v>0.17866039980422352</v>
      </c>
      <c r="G189">
        <f t="shared" si="10"/>
        <v>0.28306691028267938</v>
      </c>
      <c r="H189">
        <f t="shared" si="11"/>
        <v>1.2459886672768849E-2</v>
      </c>
    </row>
    <row r="190" spans="1:8" x14ac:dyDescent="0.25">
      <c r="A190" t="s">
        <v>188</v>
      </c>
      <c r="B190">
        <v>45512</v>
      </c>
      <c r="C190">
        <v>1795</v>
      </c>
      <c r="D190">
        <v>31032</v>
      </c>
      <c r="E190">
        <f t="shared" si="8"/>
        <v>68.184215152047813</v>
      </c>
      <c r="F190">
        <f t="shared" si="9"/>
        <v>0.12989803117164359</v>
      </c>
      <c r="G190">
        <f t="shared" si="10"/>
        <v>0.61039068583782274</v>
      </c>
      <c r="H190">
        <f t="shared" si="11"/>
        <v>2.8855978252837363E-2</v>
      </c>
    </row>
    <row r="191" spans="1:8" x14ac:dyDescent="0.25">
      <c r="A191" t="s">
        <v>189</v>
      </c>
      <c r="B191">
        <v>4276</v>
      </c>
      <c r="C191">
        <v>366</v>
      </c>
      <c r="D191">
        <v>3980</v>
      </c>
      <c r="E191">
        <f t="shared" si="8"/>
        <v>93.077642656688496</v>
      </c>
      <c r="F191">
        <f t="shared" si="9"/>
        <v>0.27246039356899815</v>
      </c>
      <c r="G191">
        <f t="shared" si="10"/>
        <v>7.8285477237514015E-2</v>
      </c>
      <c r="H191">
        <f t="shared" si="11"/>
        <v>2.2021071258610143E-3</v>
      </c>
    </row>
    <row r="192" spans="1:8" x14ac:dyDescent="0.25">
      <c r="A192" t="s">
        <v>190</v>
      </c>
      <c r="B192">
        <v>3191</v>
      </c>
      <c r="C192">
        <v>832</v>
      </c>
      <c r="D192">
        <v>3433</v>
      </c>
      <c r="E192">
        <f t="shared" si="8"/>
        <v>107.58382952052648</v>
      </c>
      <c r="F192">
        <f t="shared" si="9"/>
        <v>0.35553598724932556</v>
      </c>
      <c r="G192">
        <f t="shared" si="10"/>
        <v>6.7526141546830551E-2</v>
      </c>
      <c r="H192">
        <f t="shared" si="11"/>
        <v>1.6631574176525243E-3</v>
      </c>
    </row>
    <row r="193" spans="1:8" x14ac:dyDescent="0.25">
      <c r="A193" t="s">
        <v>191</v>
      </c>
      <c r="B193">
        <v>36291</v>
      </c>
      <c r="C193">
        <v>5434</v>
      </c>
      <c r="D193">
        <v>25415</v>
      </c>
      <c r="E193">
        <f t="shared" si="8"/>
        <v>70.031137196550105</v>
      </c>
      <c r="F193">
        <f t="shared" si="9"/>
        <v>0.14047518330462785</v>
      </c>
      <c r="G193">
        <f t="shared" si="10"/>
        <v>0.49990588039985384</v>
      </c>
      <c r="H193">
        <f t="shared" si="11"/>
        <v>2.3321644594689127E-2</v>
      </c>
    </row>
    <row r="194" spans="1:8" x14ac:dyDescent="0.25">
      <c r="A194" t="s">
        <v>192</v>
      </c>
      <c r="B194">
        <v>3750</v>
      </c>
      <c r="C194">
        <v>748</v>
      </c>
      <c r="D194">
        <v>3606</v>
      </c>
      <c r="E194">
        <f t="shared" si="8"/>
        <v>96.16</v>
      </c>
      <c r="F194">
        <f t="shared" si="9"/>
        <v>0.29011276966439131</v>
      </c>
      <c r="G194">
        <f t="shared" si="10"/>
        <v>7.0929002743335551E-2</v>
      </c>
      <c r="H194">
        <f t="shared" si="11"/>
        <v>1.8336113473053004E-3</v>
      </c>
    </row>
    <row r="195" spans="1:8" x14ac:dyDescent="0.25">
      <c r="A195" t="s">
        <v>193</v>
      </c>
      <c r="B195">
        <v>50329</v>
      </c>
      <c r="C195">
        <v>647</v>
      </c>
      <c r="D195">
        <v>35362</v>
      </c>
      <c r="E195">
        <f t="shared" ref="E195:E247" si="12">(D195/B195)*100</f>
        <v>70.261678157722187</v>
      </c>
      <c r="F195">
        <f t="shared" ref="F195:F247" si="13">(E195-MIN(E:E))/(MAX(E:E)-MIN(E:E))</f>
        <v>0.14179547011719801</v>
      </c>
      <c r="G195">
        <f t="shared" ref="G195:G247" si="14">(D195/$C$249)*100</f>
        <v>0.69556056433994229</v>
      </c>
      <c r="H195">
        <f t="shared" ref="H195:H247" si="15">(G195-MIN(G:G))/(MAX(G:G)-MIN(G:G))</f>
        <v>3.3122252908308593E-2</v>
      </c>
    </row>
    <row r="196" spans="1:8" x14ac:dyDescent="0.25">
      <c r="A196" t="s">
        <v>194</v>
      </c>
      <c r="B196">
        <v>12665</v>
      </c>
      <c r="C196">
        <v>941</v>
      </c>
      <c r="D196">
        <v>9258</v>
      </c>
      <c r="E196">
        <f t="shared" si="12"/>
        <v>73.099091985787595</v>
      </c>
      <c r="F196">
        <f t="shared" si="13"/>
        <v>0.15804507730176579</v>
      </c>
      <c r="G196">
        <f t="shared" si="14"/>
        <v>0.182102248307765</v>
      </c>
      <c r="H196">
        <f t="shared" si="15"/>
        <v>7.4024299045162409E-3</v>
      </c>
    </row>
    <row r="197" spans="1:8" x14ac:dyDescent="0.25">
      <c r="A197" t="s">
        <v>195</v>
      </c>
      <c r="B197">
        <v>3893</v>
      </c>
      <c r="C197">
        <v>490</v>
      </c>
      <c r="D197">
        <v>3952</v>
      </c>
      <c r="E197">
        <f t="shared" si="12"/>
        <v>101.51554071410223</v>
      </c>
      <c r="F197">
        <f t="shared" si="13"/>
        <v>0.32078345717720153</v>
      </c>
      <c r="G197">
        <f t="shared" si="14"/>
        <v>7.7734725136345578E-2</v>
      </c>
      <c r="H197">
        <f t="shared" si="15"/>
        <v>2.1745192066108541E-3</v>
      </c>
    </row>
    <row r="198" spans="1:8" x14ac:dyDescent="0.25">
      <c r="A198" t="s">
        <v>196</v>
      </c>
      <c r="B198">
        <v>4033</v>
      </c>
      <c r="C198">
        <v>423</v>
      </c>
      <c r="D198">
        <v>4438</v>
      </c>
      <c r="E198">
        <f t="shared" si="12"/>
        <v>110.0421522439871</v>
      </c>
      <c r="F198">
        <f t="shared" si="13"/>
        <v>0.36961457465663661</v>
      </c>
      <c r="G198">
        <f t="shared" si="14"/>
        <v>8.7294208035197787E-2</v>
      </c>
      <c r="H198">
        <f t="shared" si="15"/>
        <v>2.6533666621672085E-3</v>
      </c>
    </row>
    <row r="199" spans="1:8" x14ac:dyDescent="0.25">
      <c r="A199" t="s">
        <v>197</v>
      </c>
      <c r="B199">
        <v>241494</v>
      </c>
      <c r="C199">
        <v>15276</v>
      </c>
      <c r="D199">
        <v>152867</v>
      </c>
      <c r="E199">
        <f t="shared" si="12"/>
        <v>63.300537487473804</v>
      </c>
      <c r="F199">
        <f t="shared" si="13"/>
        <v>0.10192965980457999</v>
      </c>
      <c r="G199">
        <f t="shared" si="14"/>
        <v>3.0068507660469987</v>
      </c>
      <c r="H199">
        <f t="shared" si="15"/>
        <v>0.14889791189009763</v>
      </c>
    </row>
    <row r="200" spans="1:8" x14ac:dyDescent="0.25">
      <c r="A200" t="s">
        <v>198</v>
      </c>
      <c r="B200">
        <v>20186</v>
      </c>
      <c r="C200">
        <v>812</v>
      </c>
      <c r="D200">
        <v>15661</v>
      </c>
      <c r="E200">
        <f t="shared" si="12"/>
        <v>77.583473694639849</v>
      </c>
      <c r="F200">
        <f t="shared" si="13"/>
        <v>0.18372671757353159</v>
      </c>
      <c r="G200">
        <f t="shared" si="14"/>
        <v>0.30804745201424794</v>
      </c>
      <c r="H200">
        <f t="shared" si="15"/>
        <v>1.3711195867329697E-2</v>
      </c>
    </row>
    <row r="201" spans="1:8" x14ac:dyDescent="0.25">
      <c r="A201" t="s">
        <v>199</v>
      </c>
      <c r="B201">
        <v>8085</v>
      </c>
      <c r="C201">
        <v>456</v>
      </c>
      <c r="D201">
        <v>7156</v>
      </c>
      <c r="E201">
        <f t="shared" si="12"/>
        <v>88.509585652442794</v>
      </c>
      <c r="F201">
        <f t="shared" si="13"/>
        <v>0.24629955260125094</v>
      </c>
      <c r="G201">
        <f t="shared" si="14"/>
        <v>0.14075650128433423</v>
      </c>
      <c r="H201">
        <f t="shared" si="15"/>
        <v>5.3313653950934877E-3</v>
      </c>
    </row>
    <row r="202" spans="1:8" x14ac:dyDescent="0.25">
      <c r="A202" t="s">
        <v>200</v>
      </c>
      <c r="B202">
        <v>6306</v>
      </c>
      <c r="C202">
        <v>805</v>
      </c>
      <c r="D202">
        <v>5608</v>
      </c>
      <c r="E202">
        <f t="shared" si="12"/>
        <v>88.931176657151923</v>
      </c>
      <c r="F202">
        <f t="shared" si="13"/>
        <v>0.24871396538493062</v>
      </c>
      <c r="G202">
        <f t="shared" si="14"/>
        <v>0.11030777797687905</v>
      </c>
      <c r="H202">
        <f t="shared" si="15"/>
        <v>3.8061475736917661E-3</v>
      </c>
    </row>
    <row r="203" spans="1:8" x14ac:dyDescent="0.25">
      <c r="A203" t="s">
        <v>201</v>
      </c>
      <c r="B203">
        <v>3004</v>
      </c>
      <c r="C203">
        <v>395</v>
      </c>
      <c r="D203">
        <v>3516</v>
      </c>
      <c r="E203">
        <f t="shared" si="12"/>
        <v>117.0439414114514</v>
      </c>
      <c r="F203">
        <f t="shared" si="13"/>
        <v>0.40971317516216488</v>
      </c>
      <c r="G203">
        <f t="shared" si="14"/>
        <v>6.9158728132436995E-2</v>
      </c>
      <c r="H203">
        <f t="shared" si="15"/>
        <v>1.7449358925726423E-3</v>
      </c>
    </row>
    <row r="204" spans="1:8" x14ac:dyDescent="0.25">
      <c r="A204" t="s">
        <v>202</v>
      </c>
      <c r="B204">
        <v>5047</v>
      </c>
      <c r="C204">
        <v>518</v>
      </c>
      <c r="D204">
        <v>4217</v>
      </c>
      <c r="E204">
        <f t="shared" si="12"/>
        <v>83.554586883297006</v>
      </c>
      <c r="F204">
        <f t="shared" si="13"/>
        <v>0.21792273184911787</v>
      </c>
      <c r="G204">
        <f t="shared" si="14"/>
        <v>8.2947200379546879E-2</v>
      </c>
      <c r="H204">
        <f t="shared" si="15"/>
        <v>2.4356191566570142E-3</v>
      </c>
    </row>
    <row r="205" spans="1:8" x14ac:dyDescent="0.25">
      <c r="A205" t="s">
        <v>203</v>
      </c>
      <c r="B205">
        <v>39601</v>
      </c>
      <c r="C205">
        <v>3314</v>
      </c>
      <c r="D205">
        <v>30215</v>
      </c>
      <c r="E205">
        <f t="shared" si="12"/>
        <v>76.298578318729326</v>
      </c>
      <c r="F205">
        <f t="shared" si="13"/>
        <v>0.17636824031325507</v>
      </c>
      <c r="G205">
        <f t="shared" si="14"/>
        <v>0.59432052631444365</v>
      </c>
      <c r="H205">
        <f t="shared" si="15"/>
        <v>2.8051002180430901E-2</v>
      </c>
    </row>
    <row r="206" spans="1:8" x14ac:dyDescent="0.25">
      <c r="A206" t="s">
        <v>204</v>
      </c>
      <c r="B206">
        <v>3543</v>
      </c>
      <c r="C206">
        <v>714</v>
      </c>
      <c r="D206">
        <v>3834</v>
      </c>
      <c r="E206">
        <f t="shared" si="12"/>
        <v>108.2133784928027</v>
      </c>
      <c r="F206">
        <f t="shared" si="13"/>
        <v>0.35914135612493714</v>
      </c>
      <c r="G206">
        <f t="shared" si="14"/>
        <v>7.5413698424278572E-2</v>
      </c>
      <c r="H206">
        <f t="shared" si="15"/>
        <v>2.0582558326280352E-3</v>
      </c>
    </row>
    <row r="207" spans="1:8" x14ac:dyDescent="0.25">
      <c r="A207" t="s">
        <v>205</v>
      </c>
      <c r="B207">
        <v>5765</v>
      </c>
      <c r="C207">
        <v>972</v>
      </c>
      <c r="D207">
        <v>4472</v>
      </c>
      <c r="E207">
        <f t="shared" si="12"/>
        <v>77.571552471812666</v>
      </c>
      <c r="F207">
        <f t="shared" si="13"/>
        <v>0.18365844583037402</v>
      </c>
      <c r="G207">
        <f t="shared" si="14"/>
        <v>8.7962978443759457E-2</v>
      </c>
      <c r="H207">
        <f t="shared" si="15"/>
        <v>2.686866278399546E-3</v>
      </c>
    </row>
    <row r="208" spans="1:8" x14ac:dyDescent="0.25">
      <c r="A208" t="s">
        <v>206</v>
      </c>
      <c r="B208">
        <v>2611</v>
      </c>
      <c r="C208">
        <v>541</v>
      </c>
      <c r="D208">
        <v>3058</v>
      </c>
      <c r="E208">
        <f t="shared" si="12"/>
        <v>117.11987744159327</v>
      </c>
      <c r="F208">
        <f t="shared" si="13"/>
        <v>0.41014805380015412</v>
      </c>
      <c r="G208">
        <f t="shared" si="14"/>
        <v>6.0149997334753229E-2</v>
      </c>
      <c r="H208">
        <f t="shared" si="15"/>
        <v>1.2936763562664483E-3</v>
      </c>
    </row>
    <row r="209" spans="1:8" x14ac:dyDescent="0.25">
      <c r="A209" t="s">
        <v>207</v>
      </c>
      <c r="B209">
        <v>2828</v>
      </c>
      <c r="C209">
        <v>367</v>
      </c>
      <c r="D209">
        <v>3536</v>
      </c>
      <c r="E209">
        <f t="shared" si="12"/>
        <v>125.03536067892504</v>
      </c>
      <c r="F209">
        <f t="shared" si="13"/>
        <v>0.45547929593707198</v>
      </c>
      <c r="G209">
        <f t="shared" si="14"/>
        <v>6.9552122490414453E-2</v>
      </c>
      <c r="H209">
        <f t="shared" si="15"/>
        <v>1.7646415491798996E-3</v>
      </c>
    </row>
    <row r="210" spans="1:8" x14ac:dyDescent="0.25">
      <c r="A210" t="s">
        <v>208</v>
      </c>
      <c r="B210">
        <v>3172</v>
      </c>
      <c r="C210">
        <v>527</v>
      </c>
      <c r="D210">
        <v>3850</v>
      </c>
      <c r="E210">
        <f t="shared" si="12"/>
        <v>121.37452711223202</v>
      </c>
      <c r="F210">
        <f t="shared" si="13"/>
        <v>0.43451403988649401</v>
      </c>
      <c r="G210">
        <f t="shared" si="14"/>
        <v>7.5728413910660541E-2</v>
      </c>
      <c r="H210">
        <f t="shared" si="15"/>
        <v>2.0740203579138411E-3</v>
      </c>
    </row>
    <row r="211" spans="1:8" x14ac:dyDescent="0.25">
      <c r="A211" t="s">
        <v>209</v>
      </c>
      <c r="B211">
        <v>10837</v>
      </c>
      <c r="C211">
        <v>981</v>
      </c>
      <c r="D211">
        <v>8549</v>
      </c>
      <c r="E211">
        <f t="shared" si="12"/>
        <v>78.887145889083698</v>
      </c>
      <c r="F211">
        <f t="shared" si="13"/>
        <v>0.19119272794100756</v>
      </c>
      <c r="G211">
        <f t="shared" si="14"/>
        <v>0.16815641831746411</v>
      </c>
      <c r="H211">
        <f t="shared" si="15"/>
        <v>6.7038643777889645E-3</v>
      </c>
    </row>
    <row r="212" spans="1:8" x14ac:dyDescent="0.25">
      <c r="A212" t="s">
        <v>210</v>
      </c>
      <c r="B212">
        <v>4279</v>
      </c>
      <c r="C212">
        <v>261</v>
      </c>
      <c r="D212">
        <v>4305</v>
      </c>
      <c r="E212">
        <f t="shared" si="12"/>
        <v>100.60761860247722</v>
      </c>
      <c r="F212">
        <f t="shared" si="13"/>
        <v>0.31558387101808677</v>
      </c>
      <c r="G212">
        <f t="shared" si="14"/>
        <v>8.467813555464769E-2</v>
      </c>
      <c r="H212">
        <f t="shared" si="15"/>
        <v>2.5223240457289465E-3</v>
      </c>
    </row>
    <row r="213" spans="1:8" x14ac:dyDescent="0.25">
      <c r="A213" t="s">
        <v>211</v>
      </c>
      <c r="B213">
        <v>8066</v>
      </c>
      <c r="C213">
        <v>1028</v>
      </c>
      <c r="D213">
        <v>7984</v>
      </c>
      <c r="E213">
        <f t="shared" si="12"/>
        <v>98.983387056781552</v>
      </c>
      <c r="F213">
        <f t="shared" si="13"/>
        <v>0.30628204682406956</v>
      </c>
      <c r="G213">
        <f t="shared" si="14"/>
        <v>0.15704302770460096</v>
      </c>
      <c r="H213">
        <f t="shared" si="15"/>
        <v>6.1471795786339437E-3</v>
      </c>
    </row>
    <row r="214" spans="1:8" x14ac:dyDescent="0.25">
      <c r="A214" t="s">
        <v>212</v>
      </c>
      <c r="B214">
        <v>75221</v>
      </c>
      <c r="C214">
        <v>15966</v>
      </c>
      <c r="D214">
        <v>46766</v>
      </c>
      <c r="E214">
        <f t="shared" si="12"/>
        <v>62.171468074075051</v>
      </c>
      <c r="F214">
        <f t="shared" si="13"/>
        <v>9.5463583453514453E-2</v>
      </c>
      <c r="G214">
        <f t="shared" si="14"/>
        <v>0.91987402725868839</v>
      </c>
      <c r="H214">
        <f t="shared" si="15"/>
        <v>4.4358418305766756E-2</v>
      </c>
    </row>
    <row r="215" spans="1:8" x14ac:dyDescent="0.25">
      <c r="A215" t="s">
        <v>213</v>
      </c>
      <c r="B215">
        <v>9457</v>
      </c>
      <c r="C215">
        <v>2292</v>
      </c>
      <c r="D215">
        <v>7318</v>
      </c>
      <c r="E215">
        <f t="shared" si="12"/>
        <v>77.381833562440519</v>
      </c>
      <c r="F215">
        <f t="shared" si="13"/>
        <v>0.18257194314180289</v>
      </c>
      <c r="G215">
        <f t="shared" si="14"/>
        <v>0.14394299558395163</v>
      </c>
      <c r="H215">
        <f t="shared" si="15"/>
        <v>5.4909812136122726E-3</v>
      </c>
    </row>
    <row r="216" spans="1:8" x14ac:dyDescent="0.25">
      <c r="A216" t="s">
        <v>214</v>
      </c>
      <c r="B216">
        <v>6507</v>
      </c>
      <c r="C216">
        <v>1505</v>
      </c>
      <c r="D216">
        <v>5405</v>
      </c>
      <c r="E216">
        <f t="shared" si="12"/>
        <v>83.064392193022897</v>
      </c>
      <c r="F216">
        <f t="shared" si="13"/>
        <v>0.21511543208828388</v>
      </c>
      <c r="G216">
        <f t="shared" si="14"/>
        <v>0.10631482524340785</v>
      </c>
      <c r="H216">
        <f t="shared" si="15"/>
        <v>3.6061351591281034E-3</v>
      </c>
    </row>
    <row r="217" spans="1:8" x14ac:dyDescent="0.25">
      <c r="A217" t="s">
        <v>215</v>
      </c>
      <c r="B217">
        <v>15026</v>
      </c>
      <c r="C217">
        <v>702</v>
      </c>
      <c r="D217">
        <v>7780</v>
      </c>
      <c r="E217">
        <f t="shared" si="12"/>
        <v>51.776920005324101</v>
      </c>
      <c r="F217">
        <f t="shared" si="13"/>
        <v>3.5934965770885507E-2</v>
      </c>
      <c r="G217">
        <f t="shared" si="14"/>
        <v>0.15303040525323089</v>
      </c>
      <c r="H217">
        <f t="shared" si="15"/>
        <v>5.9461818812399179E-3</v>
      </c>
    </row>
    <row r="218" spans="1:8" x14ac:dyDescent="0.25">
      <c r="A218" t="s">
        <v>216</v>
      </c>
      <c r="B218">
        <v>1812</v>
      </c>
      <c r="C218">
        <v>256</v>
      </c>
      <c r="D218">
        <v>2199</v>
      </c>
      <c r="E218">
        <f t="shared" si="12"/>
        <v>121.35761589403972</v>
      </c>
      <c r="F218">
        <f t="shared" si="13"/>
        <v>0.43441719090030839</v>
      </c>
      <c r="G218">
        <f t="shared" si="14"/>
        <v>4.3253709659621435E-2</v>
      </c>
      <c r="H218">
        <f t="shared" si="15"/>
        <v>4.47318404984743E-4</v>
      </c>
    </row>
    <row r="219" spans="1:8" x14ac:dyDescent="0.25">
      <c r="A219" t="s">
        <v>217</v>
      </c>
      <c r="B219">
        <v>35288</v>
      </c>
      <c r="C219">
        <v>1768</v>
      </c>
      <c r="D219">
        <v>24621</v>
      </c>
      <c r="E219">
        <f t="shared" si="12"/>
        <v>69.771593742915442</v>
      </c>
      <c r="F219">
        <f t="shared" si="13"/>
        <v>0.13898880189379045</v>
      </c>
      <c r="G219">
        <f t="shared" si="14"/>
        <v>0.48428812438814883</v>
      </c>
      <c r="H219">
        <f t="shared" si="15"/>
        <v>2.253933002738101E-2</v>
      </c>
    </row>
    <row r="220" spans="1:8" x14ac:dyDescent="0.25">
      <c r="A220" t="s">
        <v>218</v>
      </c>
      <c r="B220">
        <v>4939</v>
      </c>
      <c r="C220">
        <v>1163</v>
      </c>
      <c r="D220">
        <v>5123</v>
      </c>
      <c r="E220">
        <f t="shared" si="12"/>
        <v>103.72545049605183</v>
      </c>
      <c r="F220">
        <f t="shared" si="13"/>
        <v>0.33343940658959265</v>
      </c>
      <c r="G220">
        <f t="shared" si="14"/>
        <v>0.1007679647959257</v>
      </c>
      <c r="H220">
        <f t="shared" si="15"/>
        <v>3.3282854009657743E-3</v>
      </c>
    </row>
    <row r="221" spans="1:8" x14ac:dyDescent="0.25">
      <c r="A221" t="s">
        <v>219</v>
      </c>
      <c r="B221">
        <v>22040</v>
      </c>
      <c r="C221">
        <v>2459</v>
      </c>
      <c r="D221">
        <v>18467</v>
      </c>
      <c r="E221">
        <f t="shared" si="12"/>
        <v>83.788566243194197</v>
      </c>
      <c r="F221">
        <f t="shared" si="13"/>
        <v>0.219262710053925</v>
      </c>
      <c r="G221">
        <f t="shared" si="14"/>
        <v>0.36324068043848523</v>
      </c>
      <c r="H221">
        <f t="shared" si="15"/>
        <v>1.647589948932791E-2</v>
      </c>
    </row>
    <row r="222" spans="1:8" x14ac:dyDescent="0.25">
      <c r="A222" t="s">
        <v>220</v>
      </c>
      <c r="B222">
        <v>4671</v>
      </c>
      <c r="C222">
        <v>403</v>
      </c>
      <c r="D222">
        <v>4223</v>
      </c>
      <c r="E222">
        <f t="shared" si="12"/>
        <v>90.408906015842433</v>
      </c>
      <c r="F222">
        <f t="shared" si="13"/>
        <v>0.25717678507175651</v>
      </c>
      <c r="G222">
        <f t="shared" si="14"/>
        <v>8.3065218686940112E-2</v>
      </c>
      <c r="H222">
        <f t="shared" si="15"/>
        <v>2.4415308536391914E-3</v>
      </c>
    </row>
    <row r="223" spans="1:8" x14ac:dyDescent="0.25">
      <c r="A223" t="s">
        <v>221</v>
      </c>
      <c r="B223">
        <v>2200</v>
      </c>
      <c r="C223">
        <v>557</v>
      </c>
      <c r="D223">
        <v>2464</v>
      </c>
      <c r="E223">
        <f t="shared" si="12"/>
        <v>112.00000000000001</v>
      </c>
      <c r="F223">
        <f t="shared" si="13"/>
        <v>0.38082698810430371</v>
      </c>
      <c r="G223">
        <f t="shared" si="14"/>
        <v>4.8466184902822743E-2</v>
      </c>
      <c r="H223">
        <f t="shared" si="15"/>
        <v>7.0841835503090338E-4</v>
      </c>
    </row>
    <row r="224" spans="1:8" x14ac:dyDescent="0.25">
      <c r="A224" t="s">
        <v>222</v>
      </c>
      <c r="B224">
        <v>17181</v>
      </c>
      <c r="C224">
        <v>1127</v>
      </c>
      <c r="D224">
        <v>13356</v>
      </c>
      <c r="E224">
        <f t="shared" si="12"/>
        <v>77.737035096909381</v>
      </c>
      <c r="F224">
        <f t="shared" si="13"/>
        <v>0.18460614955518675</v>
      </c>
      <c r="G224">
        <f t="shared" si="14"/>
        <v>0.26270875225734597</v>
      </c>
      <c r="H224">
        <f t="shared" si="15"/>
        <v>1.1440118943343279E-2</v>
      </c>
    </row>
    <row r="225" spans="1:8" x14ac:dyDescent="0.25">
      <c r="A225" t="s">
        <v>223</v>
      </c>
      <c r="B225">
        <v>175042</v>
      </c>
      <c r="C225">
        <v>9804</v>
      </c>
      <c r="D225">
        <v>95383</v>
      </c>
      <c r="E225">
        <f t="shared" si="12"/>
        <v>54.491493470138593</v>
      </c>
      <c r="F225">
        <f t="shared" si="13"/>
        <v>5.1481077529621083E-2</v>
      </c>
      <c r="G225">
        <f t="shared" si="14"/>
        <v>1.8761567023481907</v>
      </c>
      <c r="H225">
        <f t="shared" si="15"/>
        <v>9.2259913669518412E-2</v>
      </c>
    </row>
    <row r="226" spans="1:8" x14ac:dyDescent="0.25">
      <c r="A226" t="s">
        <v>224</v>
      </c>
      <c r="B226">
        <v>8237</v>
      </c>
      <c r="C226">
        <v>901</v>
      </c>
      <c r="D226">
        <v>6636</v>
      </c>
      <c r="E226">
        <f t="shared" si="12"/>
        <v>80.563311885395166</v>
      </c>
      <c r="F226">
        <f t="shared" si="13"/>
        <v>0.20079197594169895</v>
      </c>
      <c r="G226">
        <f t="shared" si="14"/>
        <v>0.13052824797692034</v>
      </c>
      <c r="H226">
        <f t="shared" si="15"/>
        <v>4.8190183233047957E-3</v>
      </c>
    </row>
    <row r="227" spans="1:8" x14ac:dyDescent="0.25">
      <c r="A227" t="s">
        <v>225</v>
      </c>
      <c r="B227">
        <v>23150</v>
      </c>
      <c r="C227">
        <v>2126</v>
      </c>
      <c r="D227">
        <v>16386</v>
      </c>
      <c r="E227">
        <f t="shared" si="12"/>
        <v>70.78185745140388</v>
      </c>
      <c r="F227">
        <f t="shared" si="13"/>
        <v>0.14477448893506167</v>
      </c>
      <c r="G227">
        <f t="shared" si="14"/>
        <v>0.32230799749093081</v>
      </c>
      <c r="H227">
        <f t="shared" si="15"/>
        <v>1.4425525919342779E-2</v>
      </c>
    </row>
    <row r="228" spans="1:8" x14ac:dyDescent="0.25">
      <c r="A228" t="s">
        <v>226</v>
      </c>
      <c r="B228">
        <v>5634</v>
      </c>
      <c r="C228">
        <v>1355</v>
      </c>
      <c r="D228">
        <v>5583</v>
      </c>
      <c r="E228">
        <f t="shared" si="12"/>
        <v>99.094781682641113</v>
      </c>
      <c r="F228">
        <f t="shared" si="13"/>
        <v>0.30691999356796201</v>
      </c>
      <c r="G228">
        <f t="shared" si="14"/>
        <v>0.10981603502940721</v>
      </c>
      <c r="H228">
        <f t="shared" si="15"/>
        <v>3.7815155029326934E-3</v>
      </c>
    </row>
    <row r="229" spans="1:8" x14ac:dyDescent="0.25">
      <c r="A229" t="s">
        <v>227</v>
      </c>
      <c r="B229">
        <v>2978</v>
      </c>
      <c r="C229">
        <v>1438</v>
      </c>
      <c r="D229">
        <v>3510</v>
      </c>
      <c r="E229">
        <f t="shared" si="12"/>
        <v>117.86433848220281</v>
      </c>
      <c r="F229">
        <f t="shared" si="13"/>
        <v>0.4144115134881502</v>
      </c>
      <c r="G229">
        <f t="shared" si="14"/>
        <v>6.9040709825043761E-2</v>
      </c>
      <c r="H229">
        <f t="shared" si="15"/>
        <v>1.7390241955904653E-3</v>
      </c>
    </row>
    <row r="230" spans="1:8" x14ac:dyDescent="0.25">
      <c r="A230" t="s">
        <v>228</v>
      </c>
      <c r="B230">
        <v>4180</v>
      </c>
      <c r="C230">
        <v>470</v>
      </c>
      <c r="D230">
        <v>4461</v>
      </c>
      <c r="E230">
        <f t="shared" si="12"/>
        <v>106.7224880382775</v>
      </c>
      <c r="F230">
        <f t="shared" si="13"/>
        <v>0.35060316405664299</v>
      </c>
      <c r="G230">
        <f t="shared" si="14"/>
        <v>8.7746611546871855E-2</v>
      </c>
      <c r="H230">
        <f t="shared" si="15"/>
        <v>2.6760281672655543E-3</v>
      </c>
    </row>
    <row r="231" spans="1:8" x14ac:dyDescent="0.25">
      <c r="A231" t="s">
        <v>229</v>
      </c>
      <c r="B231">
        <v>2660</v>
      </c>
      <c r="C231">
        <v>1783</v>
      </c>
      <c r="D231">
        <v>3278</v>
      </c>
      <c r="E231">
        <f t="shared" si="12"/>
        <v>123.23308270676692</v>
      </c>
      <c r="F231">
        <f t="shared" si="13"/>
        <v>0.44515781628708495</v>
      </c>
      <c r="G231">
        <f t="shared" si="14"/>
        <v>6.4477335272505251E-2</v>
      </c>
      <c r="H231">
        <f t="shared" si="15"/>
        <v>1.5104385789462792E-3</v>
      </c>
    </row>
    <row r="232" spans="1:8" x14ac:dyDescent="0.25">
      <c r="A232" t="s">
        <v>230</v>
      </c>
      <c r="B232">
        <v>8340</v>
      </c>
      <c r="C232">
        <v>2833</v>
      </c>
      <c r="D232">
        <v>6846</v>
      </c>
      <c r="E232">
        <f t="shared" si="12"/>
        <v>82.086330935251794</v>
      </c>
      <c r="F232">
        <f t="shared" si="13"/>
        <v>0.20951416551094401</v>
      </c>
      <c r="G232">
        <f t="shared" si="14"/>
        <v>0.13465888873568363</v>
      </c>
      <c r="H232">
        <f t="shared" si="15"/>
        <v>5.0259277176809974E-3</v>
      </c>
    </row>
    <row r="233" spans="1:8" x14ac:dyDescent="0.25">
      <c r="A233" t="s">
        <v>231</v>
      </c>
      <c r="B233">
        <v>2976</v>
      </c>
      <c r="C233">
        <v>558</v>
      </c>
      <c r="D233">
        <v>3908</v>
      </c>
      <c r="E233">
        <f t="shared" si="12"/>
        <v>131.31720430107526</v>
      </c>
      <c r="F233">
        <f t="shared" si="13"/>
        <v>0.49145483473411145</v>
      </c>
      <c r="G233">
        <f t="shared" si="14"/>
        <v>7.6869257548795158E-2</v>
      </c>
      <c r="H233">
        <f t="shared" si="15"/>
        <v>2.131166762074887E-3</v>
      </c>
    </row>
    <row r="234" spans="1:8" x14ac:dyDescent="0.25">
      <c r="A234" t="s">
        <v>232</v>
      </c>
      <c r="B234">
        <v>153560</v>
      </c>
      <c r="C234">
        <v>12039</v>
      </c>
      <c r="D234">
        <v>96050</v>
      </c>
      <c r="E234">
        <f t="shared" si="12"/>
        <v>62.548840843969785</v>
      </c>
      <c r="F234">
        <f t="shared" si="13"/>
        <v>9.7624762486437797E-2</v>
      </c>
      <c r="G234">
        <f t="shared" si="14"/>
        <v>1.8892764041867387</v>
      </c>
      <c r="H234">
        <f t="shared" si="15"/>
        <v>9.291709731737044E-2</v>
      </c>
    </row>
    <row r="235" spans="1:8" x14ac:dyDescent="0.25">
      <c r="A235" t="s">
        <v>233</v>
      </c>
      <c r="B235">
        <v>3080</v>
      </c>
      <c r="C235">
        <v>179</v>
      </c>
      <c r="D235">
        <v>3070</v>
      </c>
      <c r="E235">
        <f t="shared" si="12"/>
        <v>99.675324675324674</v>
      </c>
      <c r="F235">
        <f t="shared" si="13"/>
        <v>0.31024470972023832</v>
      </c>
      <c r="G235">
        <f t="shared" si="14"/>
        <v>6.0386033949539696E-2</v>
      </c>
      <c r="H235">
        <f t="shared" si="15"/>
        <v>1.3054997502308023E-3</v>
      </c>
    </row>
    <row r="236" spans="1:8" x14ac:dyDescent="0.25">
      <c r="A236" t="s">
        <v>234</v>
      </c>
      <c r="B236">
        <v>4449</v>
      </c>
      <c r="C236">
        <v>435</v>
      </c>
      <c r="D236">
        <v>4597</v>
      </c>
      <c r="E236">
        <f t="shared" si="12"/>
        <v>103.32659024499888</v>
      </c>
      <c r="F236">
        <f t="shared" si="13"/>
        <v>0.33115517073473055</v>
      </c>
      <c r="G236">
        <f t="shared" si="14"/>
        <v>9.0421693181118562E-2</v>
      </c>
      <c r="H236">
        <f t="shared" si="15"/>
        <v>2.8100266321949043E-3</v>
      </c>
    </row>
    <row r="237" spans="1:8" x14ac:dyDescent="0.25">
      <c r="A237" t="s">
        <v>235</v>
      </c>
      <c r="B237">
        <v>5171</v>
      </c>
      <c r="C237">
        <v>783</v>
      </c>
      <c r="D237">
        <v>4211</v>
      </c>
      <c r="E237">
        <f t="shared" si="12"/>
        <v>81.434925546315995</v>
      </c>
      <c r="F237">
        <f t="shared" si="13"/>
        <v>0.20578362695381913</v>
      </c>
      <c r="G237">
        <f t="shared" si="14"/>
        <v>8.2829182072153645E-2</v>
      </c>
      <c r="H237">
        <f t="shared" si="15"/>
        <v>2.429707459674837E-3</v>
      </c>
    </row>
    <row r="238" spans="1:8" x14ac:dyDescent="0.25">
      <c r="A238" t="s">
        <v>236</v>
      </c>
      <c r="B238">
        <v>2798</v>
      </c>
      <c r="C238">
        <v>656</v>
      </c>
      <c r="D238">
        <v>3087</v>
      </c>
      <c r="E238">
        <f t="shared" si="12"/>
        <v>110.3288062902073</v>
      </c>
      <c r="F238">
        <f t="shared" si="13"/>
        <v>0.37125621592971131</v>
      </c>
      <c r="G238">
        <f t="shared" si="14"/>
        <v>6.0720419153820537E-2</v>
      </c>
      <c r="H238">
        <f t="shared" si="15"/>
        <v>1.3222495583469713E-3</v>
      </c>
    </row>
    <row r="239" spans="1:8" x14ac:dyDescent="0.25">
      <c r="A239" t="s">
        <v>237</v>
      </c>
      <c r="B239">
        <v>44533</v>
      </c>
      <c r="C239">
        <v>1518</v>
      </c>
      <c r="D239">
        <v>30508</v>
      </c>
      <c r="E239">
        <f t="shared" si="12"/>
        <v>68.50650079716165</v>
      </c>
      <c r="F239">
        <f t="shared" si="13"/>
        <v>0.13174373132384717</v>
      </c>
      <c r="G239">
        <f t="shared" si="14"/>
        <v>0.60008375365881339</v>
      </c>
      <c r="H239">
        <f t="shared" si="15"/>
        <v>2.833969004972722E-2</v>
      </c>
    </row>
    <row r="240" spans="1:8" x14ac:dyDescent="0.25">
      <c r="A240" t="s">
        <v>238</v>
      </c>
      <c r="B240">
        <v>13857</v>
      </c>
      <c r="C240">
        <v>2883</v>
      </c>
      <c r="D240">
        <v>10820</v>
      </c>
      <c r="E240">
        <f t="shared" si="12"/>
        <v>78.083279209064017</v>
      </c>
      <c r="F240">
        <f t="shared" si="13"/>
        <v>0.18658905763748027</v>
      </c>
      <c r="G240">
        <f t="shared" si="14"/>
        <v>0.21282634766580441</v>
      </c>
      <c r="H240">
        <f t="shared" si="15"/>
        <v>8.9414416855430421E-3</v>
      </c>
    </row>
    <row r="241" spans="1:8" x14ac:dyDescent="0.25">
      <c r="A241" t="s">
        <v>239</v>
      </c>
      <c r="B241">
        <v>3700</v>
      </c>
      <c r="C241">
        <v>262</v>
      </c>
      <c r="D241">
        <v>3970</v>
      </c>
      <c r="E241">
        <f t="shared" si="12"/>
        <v>107.29729729729729</v>
      </c>
      <c r="F241">
        <f t="shared" si="13"/>
        <v>0.35389504364527968</v>
      </c>
      <c r="G241">
        <f t="shared" si="14"/>
        <v>7.8088780058525278E-2</v>
      </c>
      <c r="H241">
        <f t="shared" si="15"/>
        <v>2.1922542975573852E-3</v>
      </c>
    </row>
    <row r="242" spans="1:8" x14ac:dyDescent="0.25">
      <c r="A242" t="s">
        <v>240</v>
      </c>
      <c r="B242">
        <v>218416</v>
      </c>
      <c r="C242">
        <v>1916</v>
      </c>
      <c r="D242">
        <v>99384</v>
      </c>
      <c r="E242">
        <f t="shared" si="12"/>
        <v>45.502161013845139</v>
      </c>
      <c r="F242">
        <f t="shared" si="13"/>
        <v>0</v>
      </c>
      <c r="G242">
        <f t="shared" si="14"/>
        <v>1.9548552436615809</v>
      </c>
      <c r="H242">
        <f t="shared" si="15"/>
        <v>9.620203027380024E-2</v>
      </c>
    </row>
    <row r="243" spans="1:8" x14ac:dyDescent="0.25">
      <c r="A243" t="s">
        <v>241</v>
      </c>
      <c r="B243">
        <v>3770</v>
      </c>
      <c r="C243">
        <v>572</v>
      </c>
      <c r="D243">
        <v>4459</v>
      </c>
      <c r="E243">
        <f t="shared" si="12"/>
        <v>118.27586206896552</v>
      </c>
      <c r="F243">
        <f t="shared" si="13"/>
        <v>0.41676827109817349</v>
      </c>
      <c r="G243">
        <f t="shared" si="14"/>
        <v>8.7707272111074111E-2</v>
      </c>
      <c r="H243">
        <f t="shared" si="15"/>
        <v>2.6740576016048285E-3</v>
      </c>
    </row>
    <row r="244" spans="1:8" x14ac:dyDescent="0.25">
      <c r="A244" t="s">
        <v>242</v>
      </c>
      <c r="B244">
        <v>15644</v>
      </c>
      <c r="C244">
        <v>1432</v>
      </c>
      <c r="D244">
        <v>11295</v>
      </c>
      <c r="E244">
        <f t="shared" si="12"/>
        <v>72.200204551265657</v>
      </c>
      <c r="F244">
        <f t="shared" si="13"/>
        <v>0.15289723190478879</v>
      </c>
      <c r="G244">
        <f t="shared" si="14"/>
        <v>0.22216946366776905</v>
      </c>
      <c r="H244">
        <f t="shared" si="15"/>
        <v>9.4094510299654079E-3</v>
      </c>
    </row>
    <row r="245" spans="1:8" x14ac:dyDescent="0.25">
      <c r="A245" t="s">
        <v>243</v>
      </c>
      <c r="B245">
        <v>9175</v>
      </c>
      <c r="C245">
        <v>453</v>
      </c>
      <c r="D245">
        <v>7116</v>
      </c>
      <c r="E245">
        <f t="shared" si="12"/>
        <v>77.558583106267037</v>
      </c>
      <c r="F245">
        <f t="shared" si="13"/>
        <v>0.18358417147058026</v>
      </c>
      <c r="G245">
        <f t="shared" si="14"/>
        <v>0.13996971256837931</v>
      </c>
      <c r="H245">
        <f t="shared" si="15"/>
        <v>5.291954081878973E-3</v>
      </c>
    </row>
    <row r="246" spans="1:8" x14ac:dyDescent="0.25">
      <c r="A246" t="s">
        <v>244</v>
      </c>
      <c r="B246">
        <v>4145</v>
      </c>
      <c r="C246">
        <v>920</v>
      </c>
      <c r="D246">
        <v>4032</v>
      </c>
      <c r="E246">
        <f t="shared" si="12"/>
        <v>97.273823884197824</v>
      </c>
      <c r="F246">
        <f t="shared" si="13"/>
        <v>0.29649153627643127</v>
      </c>
      <c r="G246">
        <f t="shared" si="14"/>
        <v>7.9308302568255398E-2</v>
      </c>
      <c r="H246">
        <f t="shared" si="15"/>
        <v>2.2533418330398835E-3</v>
      </c>
    </row>
    <row r="247" spans="1:8" x14ac:dyDescent="0.25">
      <c r="A247" t="s">
        <v>245</v>
      </c>
      <c r="B247">
        <v>6028</v>
      </c>
      <c r="C247">
        <v>1311</v>
      </c>
      <c r="D247">
        <v>6037</v>
      </c>
      <c r="E247">
        <f t="shared" si="12"/>
        <v>100.14930325149302</v>
      </c>
      <c r="F247">
        <f t="shared" si="13"/>
        <v>0.31295914129185287</v>
      </c>
      <c r="G247">
        <f t="shared" si="14"/>
        <v>0.11874608695549549</v>
      </c>
      <c r="H247">
        <f t="shared" si="15"/>
        <v>4.2288339079174361E-3</v>
      </c>
    </row>
    <row r="249" spans="1:8" x14ac:dyDescent="0.25">
      <c r="A249" s="1" t="s">
        <v>96</v>
      </c>
      <c r="B249" s="2">
        <v>7423629</v>
      </c>
      <c r="C249" s="2">
        <v>5083957</v>
      </c>
      <c r="D249" s="7">
        <v>653530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</vt:lpstr>
      <vt:lpstr>Aptos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Carlos de Siqueira Lopes</cp:lastModifiedBy>
  <dcterms:created xsi:type="dcterms:W3CDTF">2026-06-23T17:25:00Z</dcterms:created>
  <dcterms:modified xsi:type="dcterms:W3CDTF">2026-06-24T18:52:27Z</dcterms:modified>
</cp:coreProperties>
</file>